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Costs" sheetId="2" state="visible" r:id="rId4"/>
    <sheet name="Model" sheetId="3" state="visible" r:id="rId5"/>
    <sheet name="Sensitivity" sheetId="4" state="visible" r:id="rId6"/>
    <sheet name="Profit Targets" sheetId="5" state="visible" r:id="rId7"/>
    <sheet name="10K Scenario" sheetId="6" state="visible" r:id="rId8"/>
    <sheet name="Costs (Render)" sheetId="7" state="visible" r:id="rId9"/>
    <sheet name="Blended Model 8%"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<sst xmlns="http://schemas.openxmlformats.org/spreadsheetml/2006/main" count="819" uniqueCount="549">
  <si>
    <t xml:space="preserve">art-store / shmetsy — Model Assumptions</t>
  </si>
  <si>
    <t xml:space="preserve">Edit yellow cells only. Everything else is a formula.</t>
  </si>
  <si>
    <t xml:space="preserve">PROFIT IS BEFORE FOUNDER COMPENSATION. Support salaries are modelled; your own pay is not.</t>
  </si>
  <si>
    <t xml:space="preserve">Blue = input you can change</t>
  </si>
  <si>
    <t xml:space="preserve">Black = formula</t>
  </si>
  <si>
    <t xml:space="preserve">Green = pulled from another sheet</t>
  </si>
  <si>
    <t xml:space="preserve">CORE DRIVERS</t>
  </si>
  <si>
    <t xml:space="preserve">Value</t>
  </si>
  <si>
    <t xml:space="preserve">Confidence</t>
  </si>
  <si>
    <t xml:space="preserve">Note</t>
  </si>
  <si>
    <t xml:space="preserve">GMV per seller / month — LOW</t>
  </si>
  <si>
    <t xml:space="preserve">YOUR DIRECTION</t>
  </si>
  <si>
    <t xml:space="preserve">Approximates Etsy platform GMS / active sellers incl. dormant shops. Conservative floor, LOW confidence.</t>
  </si>
  <si>
    <t xml:space="preserve">GMV per seller / month — MID</t>
  </si>
  <si>
    <t xml:space="preserve">Illustrative: modest but real side-business seller.</t>
  </si>
  <si>
    <t xml:space="preserve">GMV per seller / month — HIGH</t>
  </si>
  <si>
    <t xml:space="preserve">Illustrative: seller running this as primary income.</t>
  </si>
  <si>
    <t xml:space="preserve">Average order value (AOV)</t>
  </si>
  <si>
    <t xml:space="preserve">UNVERIFIED</t>
  </si>
  <si>
    <t xml:space="preserve">Drives orders/mo and the cost of the fixed $0.30 processing fee.</t>
  </si>
  <si>
    <t xml:space="preserve">Payment processing — % of GMV</t>
  </si>
  <si>
    <t xml:space="preserve">Stripe US card standard. NOT sourced in the research files.</t>
  </si>
  <si>
    <t xml:space="preserve">Payment processing — $ per order</t>
  </si>
  <si>
    <t xml:space="preserve">Chargeback / refund loss — LOW</t>
  </si>
  <si>
    <t xml:space="preserve">No sourced figure exists for art/handmade goods.</t>
  </si>
  <si>
    <t xml:space="preserve">Chargeback / refund loss — BASE</t>
  </si>
  <si>
    <t xml:space="preserve">Base case used on the Model and Profit Targets tabs.</t>
  </si>
  <si>
    <t xml:space="preserve">Chargeback / refund loss — HIGH</t>
  </si>
  <si>
    <t xml:space="preserve">Stress case.</t>
  </si>
  <si>
    <t xml:space="preserve">Support salary per FTE / year</t>
  </si>
  <si>
    <t xml:space="preserve">Base pay only. W-2 payroll burden (~20%) is NOT included.</t>
  </si>
  <si>
    <t xml:space="preserve">Sellers triggering 1st support FTE</t>
  </si>
  <si>
    <t xml:space="preserve">Creates the hiring valley — see the Sensitivity tab.</t>
  </si>
  <si>
    <t xml:space="preserve">Sellers triggering 2nd support FTE</t>
  </si>
  <si>
    <t xml:space="preserve">Sellers triggering 3rd support FTE</t>
  </si>
  <si>
    <t xml:space="preserve">Retained earnings share of profit</t>
  </si>
  <si>
    <t xml:space="preserve">Remainder distributed. Losses are absorbed whole, not split.</t>
  </si>
  <si>
    <t xml:space="preserve">Customer acquisition cost per seller</t>
  </si>
  <si>
    <t xml:space="preserve">Illustrative placeholder. Only used to translate retained earnings into fundable growth.</t>
  </si>
  <si>
    <t xml:space="preserve">FEE TIERS (flat, all-in — platform absorbs processing and loss)</t>
  </si>
  <si>
    <t xml:space="preserve">Fee</t>
  </si>
  <si>
    <t xml:space="preserve">Net take @ base loss</t>
  </si>
  <si>
    <t xml:space="preserve">vs 6%</t>
  </si>
  <si>
    <t xml:space="preserve">Tier 1</t>
  </si>
  <si>
    <t xml:space="preserve">Tier 2</t>
  </si>
  <si>
    <t xml:space="preserve">Tier 3</t>
  </si>
  <si>
    <t xml:space="preserve">Tier 4</t>
  </si>
  <si>
    <t xml:space="preserve">SELLER SCENARIOS</t>
  </si>
  <si>
    <t xml:space="preserve">Sellers</t>
  </si>
  <si>
    <t xml:space="preserve">Support FTE</t>
  </si>
  <si>
    <t xml:space="preserve">Scenario 1</t>
  </si>
  <si>
    <t xml:space="preserve">Support FTE derived from the hire thresholds above.</t>
  </si>
  <si>
    <t xml:space="preserve">Scenario 2</t>
  </si>
  <si>
    <t xml:space="preserve">Scenario 3</t>
  </si>
  <si>
    <t xml:space="preserve">Scenario 4</t>
  </si>
  <si>
    <t xml:space="preserve">NOT IN THIS MODEL</t>
  </si>
  <si>
    <t xml:space="preserve">- Founder compensation. The largest remaining omission — every profit figure is before paying yourself.</t>
  </si>
  <si>
    <t xml:space="preserve">- Customer acquisition as a P&amp;L line. CAC appears only as a use of retained earnings, never as a cost of getting there.</t>
  </si>
  <si>
    <t xml:space="preserve">- Churn. Seller counts are stock, not flow. Holding 1,843 active sellers may mean acquiring 3,000+.</t>
  </si>
  <si>
    <t xml:space="preserve">- Buyer-side demand generation — the thing sellers actually pay a marketplace fee for. The core product risk.</t>
  </si>
  <si>
    <t xml:space="preserve">- Stripe Connect payout/transfer fees beyond base processing.</t>
  </si>
  <si>
    <t xml:space="preserve">- Marketplace facilitator sales tax and 1099-K issuance.</t>
  </si>
  <si>
    <t xml:space="preserve">- Payroll burden on salaries (~20% for W-2): about $48,000/yr at 3 FTE.</t>
  </si>
  <si>
    <t xml:space="preserve">Operating Cost Stack</t>
  </si>
  <si>
    <t xml:space="preserve">Software from tooling-costs-2-users.md and email-crm-costs.md. Labour per your hire thresholds.</t>
  </si>
  <si>
    <t xml:space="preserve">SOFTWARE, BY SELLER COUNT (monthly USD)</t>
  </si>
  <si>
    <t xml:space="preserve">Line</t>
  </si>
  <si>
    <t xml:space="preserve">10</t>
  </si>
  <si>
    <t xml:space="preserve">100</t>
  </si>
  <si>
    <t xml:space="preserve">1,000</t>
  </si>
  <si>
    <t xml:space="preserve">10,000</t>
  </si>
  <si>
    <t xml:space="preserve">Supabase</t>
  </si>
  <si>
    <t xml:space="preserve">HIGH at 10/100 - ESTIMATE at 1k/10k, no basis in the research.</t>
  </si>
  <si>
    <t xml:space="preserve">Cloudflare zone</t>
  </si>
  <si>
    <t xml:space="preserve">HIGH. Free covers CDN; Pro $20/mo annual at real traffic.</t>
  </si>
  <si>
    <t xml:space="preserve">Cloudflare Workers</t>
  </si>
  <si>
    <t xml:space="preserve">HIGH at 10/100 ($5 min) - ESTIMATE at 1k/10k.</t>
  </si>
  <si>
    <t xml:space="preserve">Canva Pro ($15/seat/mo)</t>
  </si>
  <si>
    <t xml:space="preserve">HIGH. Scales with staff seats (2/2/4/4).</t>
  </si>
  <si>
    <t xml:space="preserve">GitHub</t>
  </si>
  <si>
    <t xml:space="preserve">HIGH. Free to 2 staff; Team $4/user/mo thereafter.</t>
  </si>
  <si>
    <t xml:space="preserve">Domain</t>
  </si>
  <si>
    <t xml:space="preserve">HIGH. Fixed regardless of scale.</t>
  </si>
  <si>
    <t xml:space="preserve">Customer support</t>
  </si>
  <si>
    <t xml:space="preserve">HIGH. Help Scout Free at every scale - your decision that 1 inbox works.</t>
  </si>
  <si>
    <t xml:space="preserve">Email (Kit)</t>
  </si>
  <si>
    <t xml:space="preserve">HIGH to 10k subs - UNVERIFIED above. $100 is a placeholder.</t>
  </si>
  <si>
    <t xml:space="preserve">Claude Max 5x ($100/seat)</t>
  </si>
  <si>
    <t xml:space="preserve">HIGH. Team standard seats would cut this ~80% if limits suffice.</t>
  </si>
  <si>
    <t xml:space="preserve">Software / month</t>
  </si>
  <si>
    <t xml:space="preserve">Software / year</t>
  </si>
  <si>
    <t xml:space="preserve">Support labour / year</t>
  </si>
  <si>
    <t xml:space="preserve">TOTAL OPERATING COST / YEAR</t>
  </si>
  <si>
    <t xml:space="preserve">Labour dwarfs software past 200 sellers. At 10,000 sellers software is ~4.6% of operating cost.</t>
  </si>
  <si>
    <t xml:space="preserve">Full Model — annual P&amp;L at the base loss rate</t>
  </si>
  <si>
    <t xml:space="preserve">Every cell is a formula off Assumptions and Costs. Change the base loss rate to restress the whole grid.</t>
  </si>
  <si>
    <t xml:space="preserve">Support labour IS included. FOUNDER COMPENSATION AND CUSTOMER ACQUISITION ARE NOT.</t>
  </si>
  <si>
    <t xml:space="preserve">LOW GMV BAND</t>
  </si>
  <si>
    <t xml:space="preserve">GMV band</t>
  </si>
  <si>
    <t xml:space="preserve">GMV/seller/mo</t>
  </si>
  <si>
    <t xml:space="preserve">Annual GMV</t>
  </si>
  <si>
    <t xml:space="preserve">Gross fee rev</t>
  </si>
  <si>
    <t xml:space="preserve">Processing</t>
  </si>
  <si>
    <t xml:space="preserve">Chargeback loss</t>
  </si>
  <si>
    <t xml:space="preserve">Net revenue</t>
  </si>
  <si>
    <t xml:space="preserve">Software</t>
  </si>
  <si>
    <t xml:space="preserve">Support labour</t>
  </si>
  <si>
    <t xml:space="preserve">Profit</t>
  </si>
  <si>
    <t xml:space="preserve">Retained</t>
  </si>
  <si>
    <t xml:space="preserve">Distributed</t>
  </si>
  <si>
    <t xml:space="preserve">Sellers fundable</t>
  </si>
  <si>
    <t xml:space="preserve">Low</t>
  </si>
  <si>
    <t xml:space="preserve">MID GMV BAND</t>
  </si>
  <si>
    <t xml:space="preserve">Mid</t>
  </si>
  <si>
    <t xml:space="preserve">HIGH GMV BAND</t>
  </si>
  <si>
    <t xml:space="preserve">High</t>
  </si>
  <si>
    <t xml:space="preserve">Sensitivity — where the model breaks</t>
  </si>
  <si>
    <t xml:space="preserve">1. NET TAKE RATE by fee and loss rate</t>
  </si>
  <si>
    <t xml:space="preserve">A 6% fee at a 2% loss rate nets 0.5%. That combination does not survive at any seller count.</t>
  </si>
  <si>
    <t xml:space="preserve">2. AOV SENSITIVITY (at base loss rate)</t>
  </si>
  <si>
    <t xml:space="preserve">AOV</t>
  </si>
  <si>
    <t xml:space="preserve">3. THE HIRING VALLEY — first hire lands at 200 sellers, before the revenue does</t>
  </si>
  <si>
    <t xml:space="preserve">At 8%, base loss. 'Recover at' is where profit returns to zero after the salary lands.</t>
  </si>
  <si>
    <t xml:space="preserve">Breakeven before hire</t>
  </si>
  <si>
    <t xml:space="preserve">Hire at</t>
  </si>
  <si>
    <t xml:space="preserve">Recover at</t>
  </si>
  <si>
    <t xml:space="preserve">Growth needed to recover</t>
  </si>
  <si>
    <t xml:space="preserve">Low ($110/mo)</t>
  </si>
  <si>
    <t xml:space="preserve">9.0x</t>
  </si>
  <si>
    <t xml:space="preserve">Mid ($500/mo)</t>
  </si>
  <si>
    <t xml:space="preserve">2.0x</t>
  </si>
  <si>
    <t xml:space="preserve">High ($2,000/mo)</t>
  </si>
  <si>
    <t xml:space="preserve">-</t>
  </si>
  <si>
    <t xml:space="preserve">no valley</t>
  </si>
  <si>
    <t xml:space="preserve">In the low band the valley runs 200 -&gt; 1,800 sellers: 9x growth to climb back to breakeven. The difference between hiring at 200 and hiring at 600 is roughly a year of runway.</t>
  </si>
  <si>
    <t xml:space="preserve">4. COMPETITIVE REFERENCE — what a seller pays on a $50 order</t>
  </si>
  <si>
    <t xml:space="preserve">Platform / scenario</t>
  </si>
  <si>
    <t xml:space="preserve">Seller pays</t>
  </si>
  <si>
    <t xml:space="preserve">Source</t>
  </si>
  <si>
    <t xml:space="preserve">art-store @ 6%</t>
  </si>
  <si>
    <t xml:space="preserve">By construction</t>
  </si>
  <si>
    <t xml:space="preserve">art-store @ 7%</t>
  </si>
  <si>
    <t xml:space="preserve">art-store @ 8%</t>
  </si>
  <si>
    <t xml:space="preserve">art-store @ 9%</t>
  </si>
  <si>
    <t xml:space="preserve">Etsy baseline, US seller, no ads</t>
  </si>
  <si>
    <t xml:space="preserve">etsy-fees-and-pricing-model.md s5.1 - HIGH</t>
  </si>
  <si>
    <t xml:space="preserve">Etsy + Offsite Ads, 12% tier</t>
  </si>
  <si>
    <t xml:space="preserve">etsy-fees-and-pricing-model.md s5.2 - HIGH</t>
  </si>
  <si>
    <t xml:space="preserve">Etsy + Offsite Ads, 15% tier</t>
  </si>
  <si>
    <t xml:space="preserve">What Would Have To Be True — Profit Targets</t>
  </si>
  <si>
    <t xml:space="preserve">Solves the model backwards. Change the targets in yellow; everything recalculates.</t>
  </si>
  <si>
    <t xml:space="preserve">PROFIT BEFORE FOUNDER COMPENSATION. Two founders at $120,000 turns a $300,000 target into $540,000.</t>
  </si>
  <si>
    <t xml:space="preserve">COST STEPS APPLIED</t>
  </si>
  <si>
    <t xml:space="preserve">Seller range</t>
  </si>
  <si>
    <t xml:space="preserve">Software /yr</t>
  </si>
  <si>
    <t xml:space="preserve">FTE</t>
  </si>
  <si>
    <t xml:space="preserve">Labour /yr</t>
  </si>
  <si>
    <t xml:space="preserve">Total fixed /yr</t>
  </si>
  <si>
    <t xml:space="preserve">Step 1</t>
  </si>
  <si>
    <t xml:space="preserve">0 - 199</t>
  </si>
  <si>
    <t xml:space="preserve">Step 2</t>
  </si>
  <si>
    <t xml:space="preserve">200 - 999</t>
  </si>
  <si>
    <t xml:space="preserve">Step 3</t>
  </si>
  <si>
    <t xml:space="preserve">1,000 - 1,999</t>
  </si>
  <si>
    <t xml:space="preserve">Step 4</t>
  </si>
  <si>
    <t xml:space="preserve">2,000 - 9,999</t>
  </si>
  <si>
    <t xml:space="preserve">Step 5</t>
  </si>
  <si>
    <t xml:space="preserve">10,000 and above</t>
  </si>
  <si>
    <t xml:space="preserve">PROFIT TARGETS</t>
  </si>
  <si>
    <t xml:space="preserve">Target 1</t>
  </si>
  <si>
    <t xml:space="preserve">Target 2</t>
  </si>
  <si>
    <t xml:space="preserve">Target 3</t>
  </si>
  <si>
    <t xml:space="preserve">TABLE A - SELLERS REQUIRED (base loss rate)</t>
  </si>
  <si>
    <t xml:space="preserve">Profit target</t>
  </si>
  <si>
    <t xml:space="preserve">Low band</t>
  </si>
  <si>
    <t xml:space="preserve">Mid band</t>
  </si>
  <si>
    <t xml:space="preserve">High band</t>
  </si>
  <si>
    <t xml:space="preserve">Jumps between fee tiers are hiring steps. A fee cut that pushes you past a hire threshold costs an $80,000 salary, not just the fee points.</t>
  </si>
  <si>
    <t xml:space="preserve">TABLE B - MONTHLY GMV PER SELLER REQUIRED, at fixed seller counts</t>
  </si>
  <si>
    <t xml:space="preserve">10 sellers</t>
  </si>
  <si>
    <t xml:space="preserve">100 sellers</t>
  </si>
  <si>
    <t xml:space="preserve">1,000 sellers</t>
  </si>
  <si>
    <t xml:space="preserve">10,000 sellers</t>
  </si>
  <si>
    <t xml:space="preserve">The 10-seller column is not a business - it shows the shape of the curve. The 10,000-seller column is the finding: at 8% each seller needs only ~$130/mo to clear $300,000.</t>
  </si>
  <si>
    <t xml:space="preserve">TABLE C - THE THREE TARGETS AT 8%, MID BAND</t>
  </si>
  <si>
    <t xml:space="preserve">Target</t>
  </si>
  <si>
    <t xml:space="preserve">Platform GMV</t>
  </si>
  <si>
    <t xml:space="preserve">Labour</t>
  </si>
  <si>
    <t xml:space="preserve">The 10,000-Seller Scenario — critical mass</t>
  </si>
  <si>
    <t xml:space="preserve">Your thesis: 10,000 sellers is the threshold for attracting buyers. The model supports it financially. At 10,000 sellers the platform carries its full cost load: 3 support staff plus $11,671 of software.</t>
  </si>
  <si>
    <t xml:space="preserve">1. PROFIT AT 10,000 SELLERS, by fee and GMV band (base loss rate)</t>
  </si>
  <si>
    <t xml:space="preserve">Loss</t>
  </si>
  <si>
    <t xml:space="preserve">Operating cost</t>
  </si>
  <si>
    <t xml:space="preserve">Sellers fundable at CAC</t>
  </si>
  <si>
    <t xml:space="preserve">2. STRESSED BY LOSS RATE (mid band, 10,000 sellers)</t>
  </si>
  <si>
    <t xml:space="preserve">Every cell is positive, but read the corner: 6% at a 2% loss rate clears only ~$48,000 on $60M of GMV - a 0.08% margin, indistinguishable from zero. 6% stays disqualified even at critical mass. The finding is the 8% row: it stays comfortably profitable across the whole loss band. That is what critical mass buys - being wrong about the loss rate stops being fatal.</t>
  </si>
  <si>
    <t xml:space="preserve">3. WHAT 10,000 SELLERS MEANS OPERATIONALLY (mid band)</t>
  </si>
  <si>
    <t xml:space="preserve">Metric</t>
  </si>
  <si>
    <t xml:space="preserve">Platform annual GMV</t>
  </si>
  <si>
    <t xml:space="preserve">Roughly 0.6% of Etsy's annual GMS</t>
  </si>
  <si>
    <t xml:space="preserve">Orders per year</t>
  </si>
  <si>
    <t xml:space="preserve">At the modelled AOV</t>
  </si>
  <si>
    <t xml:space="preserve">Orders per day</t>
  </si>
  <si>
    <t xml:space="preserve">Sets the real support load</t>
  </si>
  <si>
    <t xml:space="preserve">Sellers per support head</t>
  </si>
  <si>
    <t xml:space="preserve">vs Etsy ~4,000 per employee at maturity (MEDIUM confidence)</t>
  </si>
  <si>
    <t xml:space="preserve">Annual chargeback loss</t>
  </si>
  <si>
    <t xml:space="preserve">Compare to the salary bill below</t>
  </si>
  <si>
    <t xml:space="preserve">Annual salary bill</t>
  </si>
  <si>
    <t xml:space="preserve">3 FTE at the modelled salary</t>
  </si>
  <si>
    <t xml:space="preserve">Loss as multiple of payroll</t>
  </si>
  <si>
    <t xml:space="preserve">THE ROW TO SIT WITH - fraud is a bigger line item than your team</t>
  </si>
  <si>
    <t xml:space="preserve">4. THE FLYWHEEL - AND ITS TWO CAVEATS</t>
  </si>
  <si>
    <t xml:space="preserve">At 10,000 mid-band sellers and 8%, retained earnings fund more new sellers per year than the existing base. The business becomes self-funding for growth.</t>
  </si>
  <si>
    <t xml:space="preserve">- CAVEAT 1: the CAC figure is an illustrative placeholder, not researched. It is the single number that makes the flywheel look this good. Get a real one.</t>
  </si>
  <si>
    <t xml:space="preserve">- CAVEAT 2: the flywheel describes the state AFTER critical mass. It does not help you REACH 10,000 sellers - that must be funded from outside the model,</t>
  </si>
  <si>
    <t xml:space="preserve">- through the hiring valley on the Sensitivity tab, at 6.5x the acquisition cost if sellers turn out to be low-band rather than mid-band.</t>
  </si>
  <si>
    <t xml:space="preserve">Operating Cost Stack — Render</t>
  </si>
  <si>
    <t xml:space="preserve">Parallel to the original Costs tab. Render replaces BOTH Supabase (database) and Cloudflare Workers (compute), because Render hosts the product as well as the database.</t>
  </si>
  <si>
    <t xml:space="preserve">The original Costs tab is unchanged and still feeds the Model, Sensitivity, Profit Targets and 10K Scenario tabs. Only the Blended Model 8% tab reads from THIS tab.</t>
  </si>
  <si>
    <t xml:space="preserve">All Render, Cloudflare and R2 list prices below were read from the vendors' own pricing pages in August 2026 — see the PRICE CONSTANTS block. Instance SIZING is an engineering estimate, not a benchmark.</t>
  </si>
  <si>
    <t xml:space="preserve">20,000</t>
  </si>
  <si>
    <t xml:space="preserve">40,000</t>
  </si>
  <si>
    <t xml:space="preserve">Confidence / source</t>
  </si>
  <si>
    <t xml:space="preserve">Render — workspace plan</t>
  </si>
  <si>
    <t xml:space="preserve">HIGH. render.com/pricing: Pro $25/mo, Scale $499/mo. FLAT FEE, not per seat.</t>
  </si>
  <si>
    <t xml:space="preserve">Render — web services</t>
  </si>
  <si>
    <t xml:space="preserve">HIGH on unit price, ESTIMATE on sizing. = instance price x count, from the sizing block below.</t>
  </si>
  <si>
    <t xml:space="preserve">Render — Postgres (incl. storage)</t>
  </si>
  <si>
    <t xml:space="preserve">HIGH on unit price, ESTIMATE on sizing and database size.</t>
  </si>
  <si>
    <t xml:space="preserve">Render — bandwidth overage</t>
  </si>
  <si>
    <t xml:space="preserve">HIGH on rate ($0.15/GB), ESTIMATE on volume. Assumes Cloudflare absorbs most image traffic.</t>
  </si>
  <si>
    <t xml:space="preserve">Cloudflare R2 — object storage</t>
  </si>
  <si>
    <t xml:space="preserve">NEW LINE. Render has no object storage; Supabase did. Product images have to live somewhere.</t>
  </si>
  <si>
    <t xml:space="preserve">Cloudflare — zone (CDN / DNS)</t>
  </si>
  <si>
    <t xml:space="preserve">HIGH. Free covers CDN; Pro $20/mo billed annually. Business ($200/mo) may be needed above 20k.</t>
  </si>
  <si>
    <t xml:space="preserve">HIGH on unit price. Seats 2/2/4/4/6/8 track staff headcount. 20k/40k are extrapolations.</t>
  </si>
  <si>
    <t xml:space="preserve">GitHub Team ($4/user/mo)</t>
  </si>
  <si>
    <t xml:space="preserve">HIGH on unit price. Free to 2 staff. 20k/40k are extrapolations.</t>
  </si>
  <si>
    <t xml:space="preserve">Customer support (Help Scout Free)</t>
  </si>
  <si>
    <t xml:space="preserve">HIGH. Your decision that one shared inbox works at every scale. Increasingly doubtful at 40k.</t>
  </si>
  <si>
    <t xml:space="preserve">HIGH to 10k subscribers, UNVERIFIED above. Placeholder scaling with list size.</t>
  </si>
  <si>
    <t xml:space="preserve">Claude Max 5x ($100/seat/mo)</t>
  </si>
  <si>
    <t xml:space="preserve">HIGH on unit price. Seats 2/2/4/4/6/8. Team standard seats would cut this ~80%.</t>
  </si>
  <si>
    <t xml:space="preserve">SOFTWARE / MONTH</t>
  </si>
  <si>
    <t xml:space="preserve">Sum of the twelve lines above.</t>
  </si>
  <si>
    <t xml:space="preserve">SOFTWARE / YEAR</t>
  </si>
  <si>
    <t xml:space="preserve">This row is what the Blended Model 8% tab reads.</t>
  </si>
  <si>
    <t xml:space="preserve">RENDER + R2 SIZING DETAIL — the inputs that produce rows 8 to 11 above</t>
  </si>
  <si>
    <t xml:space="preserve">Render workspace plan</t>
  </si>
  <si>
    <t xml:space="preserve">Pro</t>
  </si>
  <si>
    <t xml:space="preserve">Scale</t>
  </si>
  <si>
    <t xml:space="preserve">Scale from 10k for horizontal autoscaling and the 1 TB bandwidth allowance.</t>
  </si>
  <si>
    <t xml:space="preserve">Web instance type</t>
  </si>
  <si>
    <t xml:space="preserve">1c-2g</t>
  </si>
  <si>
    <t xml:space="preserve">2c-4g</t>
  </si>
  <si>
    <t xml:space="preserve">4c-16g</t>
  </si>
  <si>
    <t xml:space="preserve">8c-32g</t>
  </si>
  <si>
    <t xml:space="preserve">ESTIMATE. No load testing behind these.</t>
  </si>
  <si>
    <t xml:space="preserve">Web instance $/mo each</t>
  </si>
  <si>
    <t xml:space="preserve">HIGH. render.com/pricing list prices for the instance types above.</t>
  </si>
  <si>
    <t xml:space="preserve">Web instance count</t>
  </si>
  <si>
    <t xml:space="preserve">Two instances from 1,000 sellers so a deploy or a crash is not downtime.</t>
  </si>
  <si>
    <t xml:space="preserve">Postgres plan</t>
  </si>
  <si>
    <t xml:space="preserve">0.5c-1g</t>
  </si>
  <si>
    <t xml:space="preserve">2c-8g</t>
  </si>
  <si>
    <t xml:space="preserve">4c-32g</t>
  </si>
  <si>
    <t xml:space="preserve">8c-64g</t>
  </si>
  <si>
    <t xml:space="preserve">16c-128g</t>
  </si>
  <si>
    <t xml:space="preserve">ESTIMATE. No read replica and no HA standby costed — see notes.</t>
  </si>
  <si>
    <t xml:space="preserve">Postgres base $/mo</t>
  </si>
  <si>
    <t xml:space="preserve">HIGH. render.com/pricing list prices for the plans above.</t>
  </si>
  <si>
    <t xml:space="preserve">Database size (GB)</t>
  </si>
  <si>
    <t xml:space="preserve">ESTIMATE. Listings, orders and metadata only — images are in R2, not Postgres.</t>
  </si>
  <si>
    <t xml:space="preserve">Postgres storage over 1 GB, $/mo</t>
  </si>
  <si>
    <t xml:space="preserve">Formula: (size - 1 GB) x rate in B38.</t>
  </si>
  <si>
    <t xml:space="preserve">Origin bandwidth after CDN (GB/mo)</t>
  </si>
  <si>
    <t xml:space="preserve">ESTIMATE, and a soft one. Assumes Cloudflare caches most image traffic before it reaches Render.</t>
  </si>
  <si>
    <t xml:space="preserve">Bandwidth included with plan (GB)</t>
  </si>
  <si>
    <t xml:space="preserve">HIGH. Pro includes 25 GB/mo, Scale includes 1 TB/mo.</t>
  </si>
  <si>
    <t xml:space="preserve">Image / asset storage in R2 (GB)</t>
  </si>
  <si>
    <t xml:space="preserve">ESTIMATE. ~0.5 GB of product images per seller at 40,000 sellers.</t>
  </si>
  <si>
    <t xml:space="preserve">R2 storage $/mo</t>
  </si>
  <si>
    <t xml:space="preserve">Formula: (storage - 10 GB free) x rate in B40.</t>
  </si>
  <si>
    <t xml:space="preserve">R2 operations $/mo</t>
  </si>
  <si>
    <t xml:space="preserve">ESTIMATE. Class A $4.50/M and Class B $0.36/M requests, first 1M/10M free.</t>
  </si>
  <si>
    <t xml:space="preserve">PRICE CONSTANTS — read from vendor pricing pages, August 2026</t>
  </si>
  <si>
    <t xml:space="preserve">Render Postgres storage, $/GB/mo beyond 1 GB</t>
  </si>
  <si>
    <t xml:space="preserve">HIGH. render.com/pricing.</t>
  </si>
  <si>
    <t xml:space="preserve">Render bandwidth overage, $/GB</t>
  </si>
  <si>
    <t xml:space="preserve">HIGH. render.com/pricing, all plans.</t>
  </si>
  <si>
    <t xml:space="preserve">Cloudflare R2 storage, $/GB/mo</t>
  </si>
  <si>
    <t xml:space="preserve">HIGH. developers.cloudflare.com/r2/pricing. Egress is free.</t>
  </si>
  <si>
    <t xml:space="preserve">Cloudflare R2 free storage allowance (GB)</t>
  </si>
  <si>
    <t xml:space="preserve">HIGH. 10 GB-month free, plus 1M Class A and 10M Class B ops.</t>
  </si>
  <si>
    <t xml:space="preserve">WHAT CHANGED vs THE ORIGINAL COSTS TAB</t>
  </si>
  <si>
    <t xml:space="preserve">Annual software cost</t>
  </si>
  <si>
    <t xml:space="preserve">Original stack (Supabase + CF Workers)</t>
  </si>
  <si>
    <t xml:space="preserve">no data</t>
  </si>
  <si>
    <t xml:space="preserve">The original Costs tab stops at 10,000 sellers.</t>
  </si>
  <si>
    <t xml:space="preserve">This tab (Render + R2)</t>
  </si>
  <si>
    <t xml:space="preserve">From row 20 above.</t>
  </si>
  <si>
    <t xml:space="preserve">Difference</t>
  </si>
  <si>
    <t xml:space="preserve">n/a</t>
  </si>
  <si>
    <t xml:space="preserve">Render costs materially more. It is also doing materially more.</t>
  </si>
  <si>
    <t xml:space="preserve">Multiple</t>
  </si>
  <si>
    <t xml:space="preserve">This is not a like-for-like swap, and the difference is not all price.</t>
  </si>
  <si>
    <t xml:space="preserve">  - Supabase at $225/mo and Cloudflare Workers at $150/mo were covering database plus edge compute. Nothing in the original stack was a real application server.</t>
  </si>
  <si>
    <t xml:space="preserve">  - Render is a full application host with a managed Postgres behind it. The jump in cost is partly Render being more expensive and partly the original stack being under-provisioned for a marketplace.</t>
  </si>
  <si>
    <t xml:space="preserve">  - Object storage is a NEW line, not a price rise. Supabase bundled storage; Render has none. Product images for 40,000 sellers have to live somewhere, and R2 is the cheap answer because its egress is free.</t>
  </si>
  <si>
    <t xml:space="preserve">NOT COSTED HERE — each one is a real bill you will eventually receive:</t>
  </si>
  <si>
    <t xml:space="preserve">  - Postgres high-availability standby, and read replicas for search and browse traffic. Both roughly double the database line.</t>
  </si>
  <si>
    <t xml:space="preserve">  - Backups beyond what the plan includes, and any point-in-time recovery retention.</t>
  </si>
  <si>
    <t xml:space="preserve">  - Preview / staging environments, which on Render are billed as additional services.</t>
  </si>
  <si>
    <t xml:space="preserve">  - Image transformation and resizing (Cloudflare Images or similar) — assumed free here, which it is not.</t>
  </si>
  <si>
    <t xml:space="preserve">  - Search infrastructure. A 40,000-seller marketplace does not run browse and search off primary Postgres for long.</t>
  </si>
  <si>
    <t xml:space="preserve">CONFIDENCE: every LIST PRICE on this tab is HIGH and sourced from the vendor. Every SIZING NUMBER — instance types, counts, database size, bandwidth, storage — is my estimate with no load testing behind it. The list prices will be right; the sizing could be out by a factor of two in either direction.</t>
  </si>
  <si>
    <t xml:space="preserve">Blended Seller Mix — 8% Flat Rate, Three-Year Ramp to 40,000 Sellers</t>
  </si>
  <si>
    <t xml:space="preserve">Parallel to the Model tab. The original six tabs are unchanged. Green cells are pulled from other sheets; blue-on-yellow are inputs you can edit.</t>
  </si>
  <si>
    <t xml:space="preserve">CHANGES vs the old Model tab: (1) sellers are a MIX of GMV bands; (2) fee fixed at 8%; (3) fraud separated from refunds, with a per-dispute fee; (4) payroll burden at 20%; (5) half-year periods; (6) engineering and trust &amp; safety charged from 10,000 sellers up; (7) software now reads the Costs (Render) tab, not the original Costs tab.</t>
  </si>
  <si>
    <t xml:space="preserve">SOFTWARE IS NOW RENDER, NOT SUPABASE. Render replaces both Supabase and Cloudflare Workers, and adds R2 object storage. Costs are line-itemed at all six scale points, so the old 1.7x / 2.8x software multipliers are gone. STILL BEFORE FOUNDER COMPENSATION AND BEFORE CUSTOMER ACQUISITION — both in the MEMO section.</t>
  </si>
  <si>
    <t xml:space="preserve">INPUTS</t>
  </si>
  <si>
    <t xml:space="preserve">Flat platform fee</t>
  </si>
  <si>
    <t xml:space="preserve">Fixed at 8% per your direction.</t>
  </si>
  <si>
    <t xml:space="preserve">Stripe US card standard, from Assumptions.</t>
  </si>
  <si>
    <t xml:space="preserve">From Assumptions.</t>
  </si>
  <si>
    <t xml:space="preserve">Drives the fixed processing fee AND the fraud dispute count.</t>
  </si>
  <si>
    <t xml:space="preserve">Refund / dispute loss — % of GMV</t>
  </si>
  <si>
    <t xml:space="preserve">NON-FRAUD losses: returns, not-as-described, goodwill.</t>
  </si>
  <si>
    <t xml:space="preserve">Fraud chargeback rate — % of GMV</t>
  </si>
  <si>
    <t xml:space="preserve">Card-not-present fraud. Placeholder. Visa flags a merchant above 0.9%.</t>
  </si>
  <si>
    <t xml:space="preserve">Dispute fee per fraud chargeback</t>
  </si>
  <si>
    <t xml:space="preserve">Flat fee per dispute on top of the lost goods. Bites hardest at low AOV.</t>
  </si>
  <si>
    <t xml:space="preserve">Base pay, from Assumptions.</t>
  </si>
  <si>
    <t xml:space="preserve">Payroll burden on all salaries</t>
  </si>
  <si>
    <t xml:space="preserve">ESTIMATE</t>
  </si>
  <si>
    <t xml:space="preserve">~20% US W-2 loading. The old model charged 0.</t>
  </si>
  <si>
    <t xml:space="preserve">From Assumptions. Creates the hiring valley.</t>
  </si>
  <si>
    <t xml:space="preserve">Also where support switches to a fixed seller-per-head ratio.</t>
  </si>
  <si>
    <t xml:space="preserve">Placeholder from Assumptions. Used only in the MEMO section.</t>
  </si>
  <si>
    <t xml:space="preserve">ALL-IN NET TAKE RATE (derived)</t>
  </si>
  <si>
    <t xml:space="preserve">FORMULA</t>
  </si>
  <si>
    <t xml:space="preserve">What the platform keeps per $1 of GMV. Constant at every scale — volume never improves it.</t>
  </si>
  <si>
    <t xml:space="preserve">NEW INPUTS FOR SCALE</t>
  </si>
  <si>
    <t xml:space="preserve">Engineering salary per FTE / year</t>
  </si>
  <si>
    <t xml:space="preserve">NOT RESEARCHED. US senior product engineer, base.</t>
  </si>
  <si>
    <t xml:space="preserve">Trust &amp; Safety salary per FTE / year</t>
  </si>
  <si>
    <t xml:space="preserve">NOT RESEARCHED. Fraud / content reviewer, base.</t>
  </si>
  <si>
    <t xml:space="preserve">Sellers per support head above 10,000</t>
  </si>
  <si>
    <t xml:space="preserve">Holds the ~3,333/head ratio you are already at 10,000. Assumes support gets no more efficient.</t>
  </si>
  <si>
    <t xml:space="preserve">GMV BANDS</t>
  </si>
  <si>
    <t xml:space="preserve">The $110/mo seller.</t>
  </si>
  <si>
    <t xml:space="preserve">Modest but real side-business seller.</t>
  </si>
  <si>
    <t xml:space="preserve">Seller running this as primary income.</t>
  </si>
  <si>
    <t xml:space="preserve">SELLER MIX VARIATIONS</t>
  </si>
  <si>
    <t xml:space="preserve">Share of non-$110 sellers that sit in the Mid band</t>
  </si>
  <si>
    <t xml:space="preserve">The rest go to the High band. 80/20 gives a thin power-law tail, which is how marketplace GMV distributes.</t>
  </si>
  <si>
    <t xml:space="preserve">Variation</t>
  </si>
  <si>
    <t xml:space="preserve">% at $110
(Low)</t>
  </si>
  <si>
    <t xml:space="preserve">% at Mid</t>
  </si>
  <si>
    <t xml:space="preserve">% at High</t>
  </si>
  <si>
    <t xml:space="preserve">Blended GMV
/seller/mo</t>
  </si>
  <si>
    <t xml:space="preserve">Blended GMV
/seller/yr</t>
  </si>
  <si>
    <t xml:space="preserve">Blended vs
$110-only</t>
  </si>
  <si>
    <t xml:space="preserve">A — 50% of sellers at $110/mo</t>
  </si>
  <si>
    <t xml:space="preserve">B — 70% of sellers at $110/mo</t>
  </si>
  <si>
    <t xml:space="preserve">C — 90% of sellers at $110/mo</t>
  </si>
  <si>
    <t xml:space="preserve">HEADCOUNT AND SOFTWARE PLAN BY SCALE</t>
  </si>
  <si>
    <t xml:space="preserve">Support
FTE</t>
  </si>
  <si>
    <t xml:space="preserve">Engineering
FTE</t>
  </si>
  <si>
    <t xml:space="preserve">Trust &amp; Safety
FTE</t>
  </si>
  <si>
    <t xml:space="preserve">Annual software
(Render stack)</t>
  </si>
  <si>
    <t xml:space="preserve">Sellers per
support head</t>
  </si>
  <si>
    <t xml:space="preserve">Basis</t>
  </si>
  <si>
    <t xml:space="preserve">Scale point 1</t>
  </si>
  <si>
    <t xml:space="preserve">Founders do everything. Software only.</t>
  </si>
  <si>
    <t xml:space="preserve">Scale point 2</t>
  </si>
  <si>
    <t xml:space="preserve">Still below the first support hire at 200 sellers.</t>
  </si>
  <si>
    <t xml:space="preserve">Scale point 3</t>
  </si>
  <si>
    <t xml:space="preserve">First support hire has landed. Engineering is still the founders.</t>
  </si>
  <si>
    <t xml:space="preserve">Scale point 4</t>
  </si>
  <si>
    <t xml:space="preserve">Founder-built stops working here. 2 engineers, 1 fraud reviewer. Render moves to the Scale plan.</t>
  </si>
  <si>
    <t xml:space="preserve">Scale point 5</t>
  </si>
  <si>
    <t xml:space="preserve">Support doubles on a held ratio. T&amp;S tracks fraud volume.</t>
  </si>
  <si>
    <t xml:space="preserve">Scale point 6</t>
  </si>
  <si>
    <t xml:space="preserve">~4,400 fraud cases per reviewer per year at the 0.40% fraud rate.</t>
  </si>
  <si>
    <t xml:space="preserve">Support FTE is a formula: hire thresholds from Assumptions up to 10,000 sellers, then a fixed seller-per-head ratio above that. Engineering and T&amp;S headcount are your inputs, with no research behind them. Software is now line-itemed at all six scale points on the Costs (Render) tab — no multipliers.</t>
  </si>
  <si>
    <t xml:space="preserve">VARIATION A — 50% of sellers at $110/mo   (blended GMV/seller/mo in E35)</t>
  </si>
  <si>
    <t xml:space="preserve">Period</t>
  </si>
  <si>
    <t xml:space="preserve">GMV
(half-year)</t>
  </si>
  <si>
    <t xml:space="preserve">Fee revenue
@ 8%</t>
  </si>
  <si>
    <t xml:space="preserve">Payment
processing</t>
  </si>
  <si>
    <t xml:space="preserve">Refunds /
disputes</t>
  </si>
  <si>
    <t xml:space="preserve">Fraud
chargebacks</t>
  </si>
  <si>
    <t xml:space="preserve">Software
(Render)</t>
  </si>
  <si>
    <t xml:space="preserve">Support
labour</t>
  </si>
  <si>
    <t xml:space="preserve">Eng
FTE</t>
  </si>
  <si>
    <t xml:space="preserve">Engineering
labour</t>
  </si>
  <si>
    <t xml:space="preserve">T&amp;S
FTE</t>
  </si>
  <si>
    <t xml:space="preserve">Trust &amp; Safety
labour</t>
  </si>
  <si>
    <t xml:space="preserve">Total
operating cost</t>
  </si>
  <si>
    <t xml:space="preserve">Profit
(half-year)</t>
  </si>
  <si>
    <t xml:space="preserve">Cumulative
profit</t>
  </si>
  <si>
    <t xml:space="preserve">Net take
rate</t>
  </si>
  <si>
    <t xml:space="preserve">Profit %
of GMV</t>
  </si>
  <si>
    <t xml:space="preserve">MEMO: profit on
OLD cost basis</t>
  </si>
  <si>
    <t xml:space="preserve">Year 1 — H1</t>
  </si>
  <si>
    <t xml:space="preserve">Year 1 — H2</t>
  </si>
  <si>
    <t xml:space="preserve">Year 2 — H1</t>
  </si>
  <si>
    <t xml:space="preserve">Year 2 — H2</t>
  </si>
  <si>
    <t xml:space="preserve">Year 3 — H1</t>
  </si>
  <si>
    <t xml:space="preserve">Year 3 — H2</t>
  </si>
  <si>
    <t xml:space="preserve">YEAR 1 TOTAL</t>
  </si>
  <si>
    <t xml:space="preserve">YEAR 2 TOTAL</t>
  </si>
  <si>
    <t xml:space="preserve">YEAR 3 TOTAL</t>
  </si>
  <si>
    <t xml:space="preserve">THREE-YEAR TOTAL</t>
  </si>
  <si>
    <t xml:space="preserve">VARIATION B — 70% of sellers at $110/mo   (blended GMV/seller/mo in E36)</t>
  </si>
  <si>
    <t xml:space="preserve">VARIATION C — 90% of sellers at $110/mo   (blended GMV/seller/mo in E37)</t>
  </si>
  <si>
    <t xml:space="preserve">SUMMARY — THE THREE VARIATIONS</t>
  </si>
  <si>
    <t xml:space="preserve">Variation A
50% at $110</t>
  </si>
  <si>
    <t xml:space="preserve">Variation B
70% at $110</t>
  </si>
  <si>
    <t xml:space="preserve">Variation C
90% at $110</t>
  </si>
  <si>
    <t xml:space="preserve">Read</t>
  </si>
  <si>
    <t xml:space="preserve">Blended GMV per seller / month</t>
  </si>
  <si>
    <t xml:space="preserve">The whole model turns on this.</t>
  </si>
  <si>
    <t xml:space="preserve">Year 1 profit (10 then 100 sellers)</t>
  </si>
  <si>
    <t xml:space="preserve">Rounding error either way.</t>
  </si>
  <si>
    <t xml:space="preserve">Year 2 profit (1,000 then 10,000)</t>
  </si>
  <si>
    <t xml:space="preserve">Carries engineering, T&amp;S and the Render Scale plan at the 10,000 step.</t>
  </si>
  <si>
    <t xml:space="preserve">Year 3 profit (20,000 then 40,000)</t>
  </si>
  <si>
    <t xml:space="preserve">Where the business either works or does not.</t>
  </si>
  <si>
    <t xml:space="preserve">THREE-YEAR CUMULATIVE PROFIT</t>
  </si>
  <si>
    <t xml:space="preserve">Before founder pay and before acquisition. See MEMO.</t>
  </si>
  <si>
    <t xml:space="preserve">Annual profit run-rate at 10,000</t>
  </si>
  <si>
    <t xml:space="preserve">Half-year period annualised.</t>
  </si>
  <si>
    <t xml:space="preserve">Annual profit run-rate at 20,000</t>
  </si>
  <si>
    <t xml:space="preserve">Annual profit run-rate at 40,000</t>
  </si>
  <si>
    <t xml:space="preserve">The end state this tab reaches.</t>
  </si>
  <si>
    <t xml:space="preserve">Annual GMV run-rate at 40,000</t>
  </si>
  <si>
    <t xml:space="preserve">All-in net take rate</t>
  </si>
  <si>
    <t xml:space="preserve">Identical everywhere. Scale changes volume, never the rate.</t>
  </si>
  <si>
    <t xml:space="preserve">Annual software cost at 40,000</t>
  </si>
  <si>
    <t xml:space="preserve">The Render stack. Compare to the old stack on the Costs (Render) tab, row 47.</t>
  </si>
  <si>
    <t xml:space="preserve">Software as % of operating cost at 40,000</t>
  </si>
  <si>
    <t xml:space="preserve">Still small. Labour dominates at every scale — the vendor swap does not change that.</t>
  </si>
  <si>
    <t xml:space="preserve">Profit margin on GMV at 40,000</t>
  </si>
  <si>
    <t xml:space="preserve">Operating leverage, or its absence.</t>
  </si>
  <si>
    <t xml:space="preserve">Fraud + refunds, three-year total</t>
  </si>
  <si>
    <t xml:space="preserve">Grows strictly with GMV. Scale never improves it.</t>
  </si>
  <si>
    <t xml:space="preserve">Fraud as % of net revenue</t>
  </si>
  <si>
    <t xml:space="preserve">Constant at every scale and in every variation.</t>
  </si>
  <si>
    <t xml:space="preserve">WHAT SCALE ACTUALLY DOES — ANNUALISED, VARIATION B (70% at $110) AS THE BASE CASE</t>
  </si>
  <si>
    <t xml:space="preserve">Annualised = the half-year period doubled. Variation B is the middle case; the pattern is identical in A and C, only the level moves.</t>
  </si>
  <si>
    <t xml:space="preserve">At 1,000
sellers</t>
  </si>
  <si>
    <t xml:space="preserve">At 10,000
sellers</t>
  </si>
  <si>
    <t xml:space="preserve">At 20,000
sellers</t>
  </si>
  <si>
    <t xml:space="preserve">At 40,000
sellers</t>
  </si>
  <si>
    <t xml:space="preserve">Grows exactly linearly with sellers.</t>
  </si>
  <si>
    <t xml:space="preserve">Annual net revenue</t>
  </si>
  <si>
    <t xml:space="preserve">Also linear — the take rate never improves.</t>
  </si>
  <si>
    <t xml:space="preserve">Annual software (Render)</t>
  </si>
  <si>
    <t xml:space="preserve">Grows, but it is the smallest cost line at every scale.</t>
  </si>
  <si>
    <t xml:space="preserve">Annual operating cost</t>
  </si>
  <si>
    <t xml:space="preserve">Grows in steps, slower than revenue. This is the whole game.</t>
  </si>
  <si>
    <t xml:space="preserve">Annual profit</t>
  </si>
  <si>
    <t xml:space="preserve">The gap between revenue and cost.</t>
  </si>
  <si>
    <t xml:space="preserve">Net revenue per seller / year</t>
  </si>
  <si>
    <t xml:space="preserve">Flat by construction. Scale does NOT make a seller more valuable.</t>
  </si>
  <si>
    <t xml:space="preserve">Operating cost per seller / yr</t>
  </si>
  <si>
    <t xml:space="preserve">Falls. THIS is where the leverage lives.</t>
  </si>
  <si>
    <t xml:space="preserve">Software per seller / year</t>
  </si>
  <si>
    <t xml:space="preserve">Falls fastest of any cost line — software is the one thing that truly scales.</t>
  </si>
  <si>
    <t xml:space="preserve">Profit per seller / year</t>
  </si>
  <si>
    <t xml:space="preserve">Rises only because cost per seller falls.</t>
  </si>
  <si>
    <t xml:space="preserve">Profit as % of net revenue</t>
  </si>
  <si>
    <t xml:space="preserve">The efficiency curve. Watch where it flattens.</t>
  </si>
  <si>
    <t xml:space="preserve">INCREMENTAL ECONOMICS — what each doubling actually buys</t>
  </si>
  <si>
    <t xml:space="preserve">Increment</t>
  </si>
  <si>
    <t xml:space="preserve">1,000 → 10,000</t>
  </si>
  <si>
    <t xml:space="preserve">10,000 → 20,000</t>
  </si>
  <si>
    <t xml:space="preserve">20,000 → 40,000</t>
  </si>
  <si>
    <t xml:space="preserve">Additional sellers</t>
  </si>
  <si>
    <t xml:space="preserve">Each step adds more sellers than the last.</t>
  </si>
  <si>
    <t xml:space="preserve">Additional annual net revenue</t>
  </si>
  <si>
    <t xml:space="preserve">Linear in sellers.</t>
  </si>
  <si>
    <t xml:space="preserve">Additional annual cost</t>
  </si>
  <si>
    <t xml:space="preserve">Steps up with each hiring wave.</t>
  </si>
  <si>
    <t xml:space="preserve">Additional annual profit</t>
  </si>
  <si>
    <t xml:space="preserve">What the growth was worth.</t>
  </si>
  <si>
    <t xml:space="preserve">Profit per additional seller</t>
  </si>
  <si>
    <t xml:space="preserve">THE KEY NUMBER. Compare directly against your CAC input in B19.</t>
  </si>
  <si>
    <t xml:space="preserve">Marginal profit as % of marginal net revenue</t>
  </si>
  <si>
    <t xml:space="preserve">How much of each new revenue dollar survives to profit at the margin.</t>
  </si>
  <si>
    <t xml:space="preserve">PROFIT PER SELLER PER YEAR — ALL THREE VARIATIONS</t>
  </si>
  <si>
    <t xml:space="preserve">At 1,000</t>
  </si>
  <si>
    <t xml:space="preserve">At 10,000</t>
  </si>
  <si>
    <t xml:space="preserve">At 20,000</t>
  </si>
  <si>
    <t xml:space="preserve">At 40,000</t>
  </si>
  <si>
    <t xml:space="preserve">Payback on a $50 CAC
at 40,000 (years)</t>
  </si>
  <si>
    <t xml:space="preserve">Variation A — 50% at $110/mo</t>
  </si>
  <si>
    <t xml:space="preserve">Variation B — 70% at $110/mo</t>
  </si>
  <si>
    <t xml:space="preserve">Variation C — 90% at $110/mo</t>
  </si>
  <si>
    <t xml:space="preserve">Payback ignores churn entirely. If sellers churn faster than the payback period, growth destroys value however good the number looks.</t>
  </si>
  <si>
    <t xml:space="preserve">BREAKEVEN — SELLERS REQUIRED AT EACH COST STEP</t>
  </si>
  <si>
    <t xml:space="preserve">A step is only self-consistent if the required seller count actually falls inside that step's own range. Read down until it does.</t>
  </si>
  <si>
    <t xml:space="preserve">Cost step</t>
  </si>
  <si>
    <t xml:space="preserve">Total annual
fixed cost</t>
  </si>
  <si>
    <t xml:space="preserve">Sellers required
Variation A</t>
  </si>
  <si>
    <t xml:space="preserve">Sellers required
Variation B</t>
  </si>
  <si>
    <t xml:space="preserve">Sellers required
Variation C</t>
  </si>
  <si>
    <t xml:space="preserve">Step is self-consistent when</t>
  </si>
  <si>
    <t xml:space="preserve">the answer is under ~55</t>
  </si>
  <si>
    <t xml:space="preserve">the answer is roughly 55–550</t>
  </si>
  <si>
    <t xml:space="preserve">the answer is roughly 550–5,500</t>
  </si>
  <si>
    <t xml:space="preserve">the answer is above ~5,500</t>
  </si>
  <si>
    <t xml:space="preserve">20,000 sellers</t>
  </si>
  <si>
    <t xml:space="preserve">the answer is above ~15,000</t>
  </si>
  <si>
    <t xml:space="preserve">40,000 sellers</t>
  </si>
  <si>
    <t xml:space="preserve">the answer is above ~30,000</t>
  </si>
  <si>
    <t xml:space="preserve">The jump from the 100-seller row to the 1,000-seller row is the hiring valley: the first $96,000 salary lands at 200 sellers and the GMV to pay for it arrives far later. The jump at 10,000 is the second valley — engineering, trust &amp; safety and the Render Scale plan all arrive together.</t>
  </si>
  <si>
    <t xml:space="preserve">MEMO — NOT IN THE P&amp;L ABOVE</t>
  </si>
  <si>
    <t xml:space="preserve">Variation A</t>
  </si>
  <si>
    <t xml:space="preserve">Variation B</t>
  </si>
  <si>
    <t xml:space="preserve">Variation C</t>
  </si>
  <si>
    <t xml:space="preserve">Net new sellers acquired over three years</t>
  </si>
  <si>
    <t xml:space="preserve">Churn is not modelled, so this is the FLOOR on sellers you must acquire.</t>
  </si>
  <si>
    <t xml:space="preserve">Seller acquisition cost at the CAC input</t>
  </si>
  <si>
    <t xml:space="preserve">PLACEHOLDER CAC. The single largest swing factor on this page.</t>
  </si>
  <si>
    <t xml:space="preserve">Three-year profit AFTER acquisition cost</t>
  </si>
  <si>
    <t xml:space="preserve">Replaces the headline three-year figure once you admit sellers are not free.</t>
  </si>
  <si>
    <t xml:space="preserve">Founder compensation, 2 founders x $120k x 3 yrs</t>
  </si>
  <si>
    <t xml:space="preserve">Hardcoded illustration matching the Profit Targets tab.</t>
  </si>
  <si>
    <t xml:space="preserve">Three-year profit after acquisition AND founder pay</t>
  </si>
  <si>
    <t xml:space="preserve">The real hole to fund from outside the business before it carries itself.</t>
  </si>
  <si>
    <t xml:space="preserve">WHAT THIS TAB CHANGES, AND WHAT IT STILL DOES NOT COVER</t>
  </si>
  <si>
    <t xml:space="preserve">CHANGED in this version (the Render swap):</t>
  </si>
  <si>
    <t xml:space="preserve">  1. Software now reads the Costs (Render) tab. Render replaces BOTH Supabase and Cloudflare Workers, because it hosts the product as well as the database. The Cloudflare zone stays in front as CDN.</t>
  </si>
  <si>
    <t xml:space="preserve">  2. Cloudflare R2 object storage is a NEW cost line. Supabase bundled storage; Render has none, and 40,000 sellers of product images have to live somewhere.</t>
  </si>
  <si>
    <t xml:space="preserve">  3. Software is now line-itemed at all six scale points, so the old 1.7x / 2.8x multipliers above 10,000 sellers are gone. That is a real improvement in the model, independent of the vendor.</t>
  </si>
  <si>
    <t xml:space="preserve">  4. Column V still shows profit on the OLD cost basis (software + support only, no engineering or T&amp;S) so this stays comparable to the earlier versions.</t>
  </si>
  <si>
    <t xml:space="preserve">  5. The original Costs tab is untouched and still feeds the Model, Sensitivity, Profit Targets and 10K Scenario tabs. Those four tabs are still on Supabase.</t>
  </si>
  <si>
    <t xml:space="preserve">STILL NOT MODELLED — and these matter more than the vendor choice:</t>
  </si>
  <si>
    <t xml:space="preserve">  - Churn. Seller counts are a stock, not a flow. Holding 40,000 active sellers may mean acquiring 80,000+.</t>
  </si>
  <si>
    <t xml:space="preserve">  - Buyer-side demand generation. There is no marketing budget anywhere in this model, at any scale.</t>
  </si>
  <si>
    <t xml:space="preserve">  - Seller acquisition as a P&amp;L line, and founder compensation (both quantified in the MEMO above).</t>
  </si>
  <si>
    <t xml:space="preserve">  - Postgres high availability, read replicas, staging environments, image transformation and search infrastructure — see the NOT COSTED list on the Costs (Render) tab.</t>
  </si>
  <si>
    <t xml:space="preserve">  - Any ramp within a half-year. Sellers step at period boundaries, which flatters every year.</t>
  </si>
  <si>
    <t xml:space="preserve">  - Going from 10,000 to 40,000 sellers inside one year is a 4x. Treat Year 3 as "what it looks like at that size", not "when you get there".</t>
  </si>
  <si>
    <t xml:space="preserve">CONFIDENCE: Render, Cloudflare and R2 LIST PRICES are HIGH confidence and were read from the vendors' own pricing pages in August 2026. Instance SIZING is my engineering estimate with no load testing behind it and could be out by a factor of two. Engineering and T&amp;S salaries and headcount, the fraud rate, refund rate, AOV and CAC remain unverified placeholders. The seller mix percentages are your direction, not a finding.</t>
  </si>
</sst>
</file>

<file path=xl/styles.xml><?xml version="1.0" encoding="utf-8"?>
<styleSheet xmlns="http://schemas.openxmlformats.org/spreadsheetml/2006/main">
  <numFmts count="12">
    <numFmt numFmtId="164" formatCode="General"/>
    <numFmt numFmtId="165" formatCode="\$#,##0.00;&quot;($&quot;#,##0.00\);\-"/>
    <numFmt numFmtId="166" formatCode="0.00%"/>
    <numFmt numFmtId="167" formatCode="#,##0"/>
    <numFmt numFmtId="168" formatCode="0.0%"/>
    <numFmt numFmtId="169" formatCode="\$#,##0;&quot;($&quot;#,##0\);\-"/>
    <numFmt numFmtId="170" formatCode="0.0\x"/>
    <numFmt numFmtId="171" formatCode="\$#,##0.00;&quot;($&quot;#,##0.00\);\-"/>
    <numFmt numFmtId="172" formatCode="\$#,##0;&quot;($&quot;#,##0\);\-"/>
    <numFmt numFmtId="173" formatCode="\$#,##0.000"/>
    <numFmt numFmtId="174" formatCode="0.00\x"/>
    <numFmt numFmtId="175" formatCode="0.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666666"/>
      <name val="Arial"/>
      <family val="0"/>
      <charset val="1"/>
    </font>
    <font>
      <b val="true"/>
      <sz val="10"/>
      <color rgb="FFC00000"/>
      <name val="Arial"/>
      <family val="0"/>
      <charset val="1"/>
    </font>
    <font>
      <sz val="10"/>
      <color rgb="FF0000FF"/>
      <name val="Arial"/>
      <family val="0"/>
      <charset val="1"/>
    </font>
    <font>
      <sz val="10"/>
      <name val="Arial"/>
      <family val="0"/>
      <charset val="1"/>
    </font>
    <font>
      <sz val="10"/>
      <color rgb="FF008000"/>
      <name val="Arial"/>
      <family val="0"/>
      <charset val="1"/>
    </font>
    <font>
      <b val="true"/>
      <sz val="10"/>
      <color rgb="FFFFFFFF"/>
      <name val="Arial"/>
      <family val="0"/>
      <charset val="1"/>
    </font>
    <font>
      <b val="true"/>
      <sz val="10"/>
      <name val="Arial"/>
      <family val="0"/>
      <charset val="1"/>
    </font>
    <font>
      <sz val="9"/>
      <color rgb="FF595959"/>
      <name val="Arial"/>
      <family val="0"/>
      <charset val="1"/>
    </font>
    <font>
      <sz val="9"/>
      <name val="Arial"/>
      <family val="0"/>
      <charset val="1"/>
    </font>
    <font>
      <b val="true"/>
      <sz val="9"/>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D9E2F3"/>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general" vertical="bottom" textRotation="0" wrapText="false" indent="0" shrinkToFit="false"/>
      <protection locked="true" hidden="false"/>
    </xf>
    <xf numFmtId="168" fontId="7" fillId="3" borderId="1" xfId="0" applyFont="true" applyBorder="tru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9" fontId="11" fillId="4"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5" fontId="9" fillId="5" borderId="0" xfId="0" applyFont="true" applyBorder="false" applyAlignment="true" applyProtection="false">
      <alignment horizontal="general" vertical="bottom" textRotation="0" wrapText="false" indent="0" shrinkToFit="false"/>
      <protection locked="true" hidden="false"/>
    </xf>
    <xf numFmtId="167" fontId="9" fillId="5" borderId="0" xfId="0" applyFont="true" applyBorder="false" applyAlignment="true" applyProtection="false">
      <alignment horizontal="general" vertical="bottom" textRotation="0" wrapText="false" indent="0" shrinkToFit="false"/>
      <protection locked="true" hidden="false"/>
    </xf>
    <xf numFmtId="169" fontId="8" fillId="5" borderId="0" xfId="0" applyFont="true" applyBorder="false" applyAlignment="true" applyProtection="false">
      <alignment horizontal="general" vertical="bottom" textRotation="0" wrapText="false" indent="0" shrinkToFit="false"/>
      <protection locked="true" hidden="false"/>
    </xf>
    <xf numFmtId="166" fontId="9" fillId="5" borderId="0" xfId="0" applyFont="true" applyBorder="false" applyAlignment="true" applyProtection="false">
      <alignment horizontal="general" vertical="bottom" textRotation="0" wrapText="false" indent="0" shrinkToFit="false"/>
      <protection locked="true" hidden="false"/>
    </xf>
    <xf numFmtId="169" fontId="9" fillId="5" borderId="0" xfId="0" applyFont="true" applyBorder="false" applyAlignment="true" applyProtection="false">
      <alignment horizontal="general" vertical="bottom" textRotation="0" wrapText="false" indent="0" shrinkToFit="false"/>
      <protection locked="true" hidden="false"/>
    </xf>
    <xf numFmtId="169" fontId="11" fillId="5" borderId="0" xfId="0" applyFont="true" applyBorder="false" applyAlignment="true" applyProtection="false">
      <alignment horizontal="general" vertical="bottom" textRotation="0" wrapText="false" indent="0" shrinkToFit="false"/>
      <protection locked="true" hidden="false"/>
    </xf>
    <xf numFmtId="167" fontId="8" fillId="5"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66" fontId="10" fillId="2" borderId="0" xfId="0" applyFont="true" applyBorder="fals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9" fontId="7" fillId="3" borderId="1" xfId="0" applyFont="true" applyBorder="tru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1" fontId="7"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1" fontId="11" fillId="4" borderId="0" xfId="0" applyFont="true" applyBorder="false" applyAlignment="false" applyProtection="false">
      <alignment horizontal="general" vertical="bottom" textRotation="0" wrapText="false" indent="0" shrinkToFit="false"/>
      <protection locked="true" hidden="false"/>
    </xf>
    <xf numFmtId="172" fontId="11" fillId="4"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73" fontId="7" fillId="3"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8" fontId="7" fillId="3"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2" fontId="7" fillId="3"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7" fontId="8" fillId="5" borderId="0" xfId="0" applyFont="true" applyBorder="false" applyAlignment="false" applyProtection="false">
      <alignment horizontal="general" vertical="bottom" textRotation="0" wrapText="false" indent="0" shrinkToFit="false"/>
      <protection locked="true" hidden="false"/>
    </xf>
    <xf numFmtId="172" fontId="8" fillId="5" borderId="0" xfId="0" applyFont="true" applyBorder="false" applyAlignment="false" applyProtection="false">
      <alignment horizontal="general" vertical="bottom" textRotation="0" wrapText="false" indent="0" shrinkToFit="false"/>
      <protection locked="true" hidden="false"/>
    </xf>
    <xf numFmtId="172" fontId="11" fillId="5" borderId="0" xfId="0" applyFont="true" applyBorder="false" applyAlignment="false" applyProtection="false">
      <alignment horizontal="general" vertical="bottom" textRotation="0" wrapText="false" indent="0" shrinkToFit="false"/>
      <protection locked="true" hidden="false"/>
    </xf>
    <xf numFmtId="166" fontId="8" fillId="5" borderId="0" xfId="0" applyFont="true" applyBorder="false" applyAlignment="false" applyProtection="false">
      <alignment horizontal="general" vertical="bottom" textRotation="0" wrapText="false" indent="0" shrinkToFit="false"/>
      <protection locked="true" hidden="false"/>
    </xf>
    <xf numFmtId="168" fontId="8" fillId="5"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11"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6" fontId="11" fillId="4" borderId="0" xfId="0" applyFont="true" applyBorder="false" applyAlignment="false" applyProtection="false">
      <alignment horizontal="general" vertical="bottom" textRotation="0" wrapText="false" indent="0" shrinkToFit="false"/>
      <protection locked="true" hidden="false"/>
    </xf>
    <xf numFmtId="168" fontId="11" fillId="4"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66"/>
      <rgbColor rgb="FF70AD47"/>
      <rgbColor rgb="FF1F3864"/>
      <rgbColor rgb="FF00B050"/>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D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5"/>
    <col collapsed="false" customWidth="true" hidden="false" outlineLevel="0" max="3" min="3" style="1" width="18"/>
    <col collapsed="false" customWidth="true" hidden="false" outlineLevel="0" max="4" min="4" style="1" width="105"/>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5" customFormat="false" ht="15" hidden="false" customHeight="true" outlineLevel="0" collapsed="false">
      <c r="A5" s="5" t="s">
        <v>3</v>
      </c>
    </row>
    <row r="6" customFormat="false" ht="15" hidden="false" customHeight="true" outlineLevel="0" collapsed="false">
      <c r="A6" s="6" t="s">
        <v>4</v>
      </c>
    </row>
    <row r="7" customFormat="false" ht="15" hidden="false" customHeight="true" outlineLevel="0" collapsed="false">
      <c r="A7" s="7" t="s">
        <v>5</v>
      </c>
    </row>
    <row r="9" customFormat="false" ht="15" hidden="false" customHeight="true" outlineLevel="0" collapsed="false">
      <c r="A9" s="8" t="s">
        <v>6</v>
      </c>
      <c r="B9" s="8" t="s">
        <v>7</v>
      </c>
      <c r="C9" s="8" t="s">
        <v>8</v>
      </c>
      <c r="D9" s="8" t="s">
        <v>9</v>
      </c>
    </row>
    <row r="10" customFormat="false" ht="15" hidden="false" customHeight="true" outlineLevel="0" collapsed="false">
      <c r="A10" s="6" t="s">
        <v>10</v>
      </c>
      <c r="B10" s="9" t="n">
        <v>110</v>
      </c>
      <c r="C10" s="6" t="s">
        <v>11</v>
      </c>
      <c r="D10" s="3" t="s">
        <v>12</v>
      </c>
    </row>
    <row r="11" customFormat="false" ht="15" hidden="false" customHeight="true" outlineLevel="0" collapsed="false">
      <c r="A11" s="6" t="s">
        <v>13</v>
      </c>
      <c r="B11" s="9" t="n">
        <v>500</v>
      </c>
      <c r="C11" s="6" t="s">
        <v>11</v>
      </c>
      <c r="D11" s="3" t="s">
        <v>14</v>
      </c>
    </row>
    <row r="12" customFormat="false" ht="15" hidden="false" customHeight="true" outlineLevel="0" collapsed="false">
      <c r="A12" s="6" t="s">
        <v>15</v>
      </c>
      <c r="B12" s="9" t="n">
        <v>2000</v>
      </c>
      <c r="C12" s="6" t="s">
        <v>11</v>
      </c>
      <c r="D12" s="3" t="s">
        <v>16</v>
      </c>
    </row>
    <row r="13" customFormat="false" ht="15" hidden="false" customHeight="true" outlineLevel="0" collapsed="false">
      <c r="A13" s="6" t="s">
        <v>17</v>
      </c>
      <c r="B13" s="9" t="n">
        <v>50</v>
      </c>
      <c r="C13" s="6" t="s">
        <v>18</v>
      </c>
      <c r="D13" s="3" t="s">
        <v>19</v>
      </c>
    </row>
    <row r="14" customFormat="false" ht="15" hidden="false" customHeight="true" outlineLevel="0" collapsed="false">
      <c r="A14" s="6" t="s">
        <v>20</v>
      </c>
      <c r="B14" s="10" t="n">
        <v>0.029</v>
      </c>
      <c r="C14" s="6" t="s">
        <v>18</v>
      </c>
      <c r="D14" s="3" t="s">
        <v>21</v>
      </c>
    </row>
    <row r="15" customFormat="false" ht="15" hidden="false" customHeight="true" outlineLevel="0" collapsed="false">
      <c r="A15" s="6" t="s">
        <v>22</v>
      </c>
      <c r="B15" s="9" t="n">
        <v>0.3</v>
      </c>
      <c r="C15" s="6" t="s">
        <v>18</v>
      </c>
      <c r="D15" s="3" t="s">
        <v>21</v>
      </c>
    </row>
    <row r="16" customFormat="false" ht="15" hidden="false" customHeight="true" outlineLevel="0" collapsed="false">
      <c r="A16" s="6" t="s">
        <v>23</v>
      </c>
      <c r="B16" s="10" t="n">
        <v>0.005</v>
      </c>
      <c r="C16" s="6" t="s">
        <v>18</v>
      </c>
      <c r="D16" s="3" t="s">
        <v>24</v>
      </c>
    </row>
    <row r="17" customFormat="false" ht="15" hidden="false" customHeight="true" outlineLevel="0" collapsed="false">
      <c r="A17" s="6" t="s">
        <v>25</v>
      </c>
      <c r="B17" s="10" t="n">
        <v>0.01</v>
      </c>
      <c r="C17" s="6" t="s">
        <v>18</v>
      </c>
      <c r="D17" s="3" t="s">
        <v>26</v>
      </c>
    </row>
    <row r="18" customFormat="false" ht="15" hidden="false" customHeight="true" outlineLevel="0" collapsed="false">
      <c r="A18" s="6" t="s">
        <v>27</v>
      </c>
      <c r="B18" s="10" t="n">
        <v>0.02</v>
      </c>
      <c r="C18" s="6" t="s">
        <v>18</v>
      </c>
      <c r="D18" s="3" t="s">
        <v>28</v>
      </c>
    </row>
    <row r="19" customFormat="false" ht="15" hidden="false" customHeight="true" outlineLevel="0" collapsed="false">
      <c r="A19" s="6" t="s">
        <v>29</v>
      </c>
      <c r="B19" s="9" t="n">
        <v>80000</v>
      </c>
      <c r="C19" s="6" t="s">
        <v>11</v>
      </c>
      <c r="D19" s="3" t="s">
        <v>30</v>
      </c>
    </row>
    <row r="20" customFormat="false" ht="15" hidden="false" customHeight="true" outlineLevel="0" collapsed="false">
      <c r="A20" s="6" t="s">
        <v>31</v>
      </c>
      <c r="B20" s="11" t="n">
        <v>200</v>
      </c>
      <c r="C20" s="6" t="s">
        <v>11</v>
      </c>
      <c r="D20" s="3" t="s">
        <v>32</v>
      </c>
    </row>
    <row r="21" customFormat="false" ht="15" hidden="false" customHeight="true" outlineLevel="0" collapsed="false">
      <c r="A21" s="6" t="s">
        <v>33</v>
      </c>
      <c r="B21" s="11" t="n">
        <v>2000</v>
      </c>
      <c r="C21" s="6" t="s">
        <v>11</v>
      </c>
      <c r="D21" s="3"/>
    </row>
    <row r="22" customFormat="false" ht="15" hidden="false" customHeight="true" outlineLevel="0" collapsed="false">
      <c r="A22" s="6" t="s">
        <v>34</v>
      </c>
      <c r="B22" s="11" t="n">
        <v>10000</v>
      </c>
      <c r="C22" s="6" t="s">
        <v>11</v>
      </c>
      <c r="D22" s="3"/>
    </row>
    <row r="23" customFormat="false" ht="15" hidden="false" customHeight="true" outlineLevel="0" collapsed="false">
      <c r="A23" s="6" t="s">
        <v>35</v>
      </c>
      <c r="B23" s="12" t="n">
        <v>0.5</v>
      </c>
      <c r="C23" s="6" t="s">
        <v>11</v>
      </c>
      <c r="D23" s="3" t="s">
        <v>36</v>
      </c>
    </row>
    <row r="24" customFormat="false" ht="15" hidden="false" customHeight="true" outlineLevel="0" collapsed="false">
      <c r="A24" s="6" t="s">
        <v>37</v>
      </c>
      <c r="B24" s="9" t="n">
        <v>50</v>
      </c>
      <c r="C24" s="6" t="s">
        <v>18</v>
      </c>
      <c r="D24" s="3" t="s">
        <v>38</v>
      </c>
    </row>
    <row r="26" customFormat="false" ht="15" hidden="false" customHeight="true" outlineLevel="0" collapsed="false">
      <c r="A26" s="8" t="s">
        <v>39</v>
      </c>
      <c r="B26" s="8" t="s">
        <v>40</v>
      </c>
      <c r="C26" s="8" t="s">
        <v>41</v>
      </c>
      <c r="D26" s="8" t="s">
        <v>42</v>
      </c>
    </row>
    <row r="27" customFormat="false" ht="15" hidden="false" customHeight="true" outlineLevel="0" collapsed="false">
      <c r="A27" s="6" t="s">
        <v>43</v>
      </c>
      <c r="B27" s="10" t="n">
        <v>0.06</v>
      </c>
      <c r="C27" s="13" t="n">
        <f aca="false">B27-$B$14-($B$15/$B$13)-$B$17</f>
        <v>0.015</v>
      </c>
      <c r="D27" s="14" t="n">
        <f aca="false">IFERROR(C27/$C$27-1,0)</f>
        <v>0</v>
      </c>
    </row>
    <row r="28" customFormat="false" ht="15" hidden="false" customHeight="true" outlineLevel="0" collapsed="false">
      <c r="A28" s="6" t="s">
        <v>44</v>
      </c>
      <c r="B28" s="10" t="n">
        <v>0.07</v>
      </c>
      <c r="C28" s="13" t="n">
        <f aca="false">B28-$B$14-($B$15/$B$13)-$B$17</f>
        <v>0.025</v>
      </c>
      <c r="D28" s="14" t="n">
        <f aca="false">IFERROR(C28/$C$27-1,0)</f>
        <v>0.666666666666668</v>
      </c>
    </row>
    <row r="29" customFormat="false" ht="15" hidden="false" customHeight="true" outlineLevel="0" collapsed="false">
      <c r="A29" s="6" t="s">
        <v>45</v>
      </c>
      <c r="B29" s="10" t="n">
        <v>0.08</v>
      </c>
      <c r="C29" s="13" t="n">
        <f aca="false">B29-$B$14-($B$15/$B$13)-$B$17</f>
        <v>0.035</v>
      </c>
      <c r="D29" s="14" t="n">
        <f aca="false">IFERROR(C29/$C$27-1,0)</f>
        <v>1.33333333333333</v>
      </c>
    </row>
    <row r="30" customFormat="false" ht="15" hidden="false" customHeight="true" outlineLevel="0" collapsed="false">
      <c r="A30" s="6" t="s">
        <v>46</v>
      </c>
      <c r="B30" s="10" t="n">
        <v>0.09</v>
      </c>
      <c r="C30" s="13" t="n">
        <f aca="false">B30-$B$14-($B$15/$B$13)-$B$17</f>
        <v>0.045</v>
      </c>
      <c r="D30" s="14" t="n">
        <f aca="false">IFERROR(C30/$C$27-1,0)</f>
        <v>2</v>
      </c>
    </row>
    <row r="32" customFormat="false" ht="15" hidden="false" customHeight="true" outlineLevel="0" collapsed="false">
      <c r="A32" s="8" t="s">
        <v>47</v>
      </c>
      <c r="B32" s="8" t="s">
        <v>48</v>
      </c>
      <c r="C32" s="8" t="s">
        <v>49</v>
      </c>
      <c r="D32" s="8" t="s">
        <v>9</v>
      </c>
    </row>
    <row r="33" customFormat="false" ht="15" hidden="false" customHeight="true" outlineLevel="0" collapsed="false">
      <c r="A33" s="6" t="s">
        <v>50</v>
      </c>
      <c r="B33" s="11" t="n">
        <v>10</v>
      </c>
      <c r="C33" s="15" t="n">
        <f aca="false">IF(B33&gt;=$B$22,3,IF(B33&gt;=$B$21,2,IF(B33&gt;=$B$20,1,0)))</f>
        <v>0</v>
      </c>
      <c r="D33" s="3" t="s">
        <v>51</v>
      </c>
    </row>
    <row r="34" customFormat="false" ht="15" hidden="false" customHeight="true" outlineLevel="0" collapsed="false">
      <c r="A34" s="6" t="s">
        <v>52</v>
      </c>
      <c r="B34" s="11" t="n">
        <v>100</v>
      </c>
      <c r="C34" s="15" t="n">
        <f aca="false">IF(B34&gt;=$B$22,3,IF(B34&gt;=$B$21,2,IF(B34&gt;=$B$20,1,0)))</f>
        <v>0</v>
      </c>
      <c r="D34" s="3" t="s">
        <v>51</v>
      </c>
    </row>
    <row r="35" customFormat="false" ht="15" hidden="false" customHeight="true" outlineLevel="0" collapsed="false">
      <c r="A35" s="6" t="s">
        <v>53</v>
      </c>
      <c r="B35" s="11" t="n">
        <v>1000</v>
      </c>
      <c r="C35" s="15" t="n">
        <f aca="false">IF(B35&gt;=$B$22,3,IF(B35&gt;=$B$21,2,IF(B35&gt;=$B$20,1,0)))</f>
        <v>1</v>
      </c>
      <c r="D35" s="3" t="s">
        <v>51</v>
      </c>
    </row>
    <row r="36" customFormat="false" ht="15" hidden="false" customHeight="true" outlineLevel="0" collapsed="false">
      <c r="A36" s="6" t="s">
        <v>54</v>
      </c>
      <c r="B36" s="11" t="n">
        <v>10000</v>
      </c>
      <c r="C36" s="15" t="n">
        <f aca="false">IF(B36&gt;=$B$22,3,IF(B36&gt;=$B$21,2,IF(B36&gt;=$B$20,1,0)))</f>
        <v>3</v>
      </c>
      <c r="D36" s="3" t="s">
        <v>51</v>
      </c>
    </row>
    <row r="38" customFormat="false" ht="15" hidden="false" customHeight="true" outlineLevel="0" collapsed="false">
      <c r="A38" s="8" t="s">
        <v>55</v>
      </c>
    </row>
    <row r="39" customFormat="false" ht="15" hidden="false" customHeight="true" outlineLevel="0" collapsed="false">
      <c r="A39" s="3" t="s">
        <v>56</v>
      </c>
    </row>
    <row r="40" customFormat="false" ht="15" hidden="false" customHeight="true" outlineLevel="0" collapsed="false">
      <c r="A40" s="3" t="s">
        <v>57</v>
      </c>
    </row>
    <row r="41" customFormat="false" ht="15" hidden="false" customHeight="true" outlineLevel="0" collapsed="false">
      <c r="A41" s="3" t="s">
        <v>58</v>
      </c>
    </row>
    <row r="42" customFormat="false" ht="15" hidden="false" customHeight="true" outlineLevel="0" collapsed="false">
      <c r="A42" s="3" t="s">
        <v>59</v>
      </c>
    </row>
    <row r="43" customFormat="false" ht="15" hidden="false" customHeight="true" outlineLevel="0" collapsed="false">
      <c r="A43" s="3" t="s">
        <v>60</v>
      </c>
    </row>
    <row r="44" customFormat="false" ht="15" hidden="false" customHeight="true" outlineLevel="0" collapsed="false">
      <c r="A44" s="3" t="s">
        <v>61</v>
      </c>
    </row>
    <row r="45" customFormat="false" ht="15" hidden="false" customHeight="true" outlineLevel="0" collapsed="false">
      <c r="A45" s="3"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6"/>
    <col collapsed="false" customWidth="true" hidden="false" outlineLevel="0" max="6" min="6" style="1" width="105"/>
  </cols>
  <sheetData>
    <row r="1" customFormat="false" ht="17.25" hidden="false" customHeight="true" outlineLevel="0" collapsed="false">
      <c r="A1" s="2" t="s">
        <v>63</v>
      </c>
    </row>
    <row r="2" customFormat="false" ht="15" hidden="false" customHeight="true" outlineLevel="0" collapsed="false">
      <c r="A2" s="3" t="s">
        <v>64</v>
      </c>
    </row>
    <row r="4" customFormat="false" ht="15" hidden="false" customHeight="true" outlineLevel="0" collapsed="false">
      <c r="A4" s="16" t="s">
        <v>65</v>
      </c>
    </row>
    <row r="5" customFormat="false" ht="15" hidden="false" customHeight="true" outlineLevel="0" collapsed="false">
      <c r="A5" s="8" t="s">
        <v>66</v>
      </c>
      <c r="B5" s="8" t="s">
        <v>67</v>
      </c>
      <c r="C5" s="8" t="s">
        <v>68</v>
      </c>
      <c r="D5" s="8" t="s">
        <v>69</v>
      </c>
      <c r="E5" s="8" t="s">
        <v>70</v>
      </c>
      <c r="F5" s="8" t="s">
        <v>8</v>
      </c>
    </row>
    <row r="6" customFormat="false" ht="15" hidden="false" customHeight="true" outlineLevel="0" collapsed="false">
      <c r="A6" s="6" t="s">
        <v>71</v>
      </c>
      <c r="B6" s="17" t="n">
        <v>25</v>
      </c>
      <c r="C6" s="17" t="n">
        <v>25</v>
      </c>
      <c r="D6" s="17" t="n">
        <v>50</v>
      </c>
      <c r="E6" s="17" t="n">
        <v>225</v>
      </c>
      <c r="F6" s="3" t="s">
        <v>72</v>
      </c>
    </row>
    <row r="7" customFormat="false" ht="15" hidden="false" customHeight="true" outlineLevel="0" collapsed="false">
      <c r="A7" s="6" t="s">
        <v>73</v>
      </c>
      <c r="B7" s="17" t="n">
        <v>0</v>
      </c>
      <c r="C7" s="17" t="n">
        <v>0</v>
      </c>
      <c r="D7" s="17" t="n">
        <v>20</v>
      </c>
      <c r="E7" s="17" t="n">
        <v>20</v>
      </c>
      <c r="F7" s="3" t="s">
        <v>74</v>
      </c>
    </row>
    <row r="8" customFormat="false" ht="15" hidden="false" customHeight="true" outlineLevel="0" collapsed="false">
      <c r="A8" s="6" t="s">
        <v>75</v>
      </c>
      <c r="B8" s="17" t="n">
        <v>5</v>
      </c>
      <c r="C8" s="17" t="n">
        <v>5</v>
      </c>
      <c r="D8" s="17" t="n">
        <v>25</v>
      </c>
      <c r="E8" s="17" t="n">
        <v>150</v>
      </c>
      <c r="F8" s="3" t="s">
        <v>76</v>
      </c>
    </row>
    <row r="9" customFormat="false" ht="15" hidden="false" customHeight="true" outlineLevel="0" collapsed="false">
      <c r="A9" s="6" t="s">
        <v>77</v>
      </c>
      <c r="B9" s="17" t="n">
        <v>30</v>
      </c>
      <c r="C9" s="17" t="n">
        <v>30</v>
      </c>
      <c r="D9" s="17" t="n">
        <v>60</v>
      </c>
      <c r="E9" s="17" t="n">
        <v>60</v>
      </c>
      <c r="F9" s="3" t="s">
        <v>78</v>
      </c>
    </row>
    <row r="10" customFormat="false" ht="15" hidden="false" customHeight="true" outlineLevel="0" collapsed="false">
      <c r="A10" s="6" t="s">
        <v>79</v>
      </c>
      <c r="B10" s="17" t="n">
        <v>0</v>
      </c>
      <c r="C10" s="17" t="n">
        <v>0</v>
      </c>
      <c r="D10" s="17" t="n">
        <v>16</v>
      </c>
      <c r="E10" s="17" t="n">
        <v>16</v>
      </c>
      <c r="F10" s="3" t="s">
        <v>80</v>
      </c>
    </row>
    <row r="11" customFormat="false" ht="15" hidden="false" customHeight="true" outlineLevel="0" collapsed="false">
      <c r="A11" s="6" t="s">
        <v>81</v>
      </c>
      <c r="B11" s="17" t="n">
        <v>1.56</v>
      </c>
      <c r="C11" s="17" t="n">
        <v>1.56</v>
      </c>
      <c r="D11" s="17" t="n">
        <v>1.56</v>
      </c>
      <c r="E11" s="17" t="n">
        <v>1.56</v>
      </c>
      <c r="F11" s="3" t="s">
        <v>82</v>
      </c>
    </row>
    <row r="12" customFormat="false" ht="15" hidden="false" customHeight="true" outlineLevel="0" collapsed="false">
      <c r="A12" s="6" t="s">
        <v>83</v>
      </c>
      <c r="B12" s="17" t="n">
        <v>0</v>
      </c>
      <c r="C12" s="17" t="n">
        <v>0</v>
      </c>
      <c r="D12" s="17" t="n">
        <v>0</v>
      </c>
      <c r="E12" s="17" t="n">
        <v>0</v>
      </c>
      <c r="F12" s="3" t="s">
        <v>84</v>
      </c>
    </row>
    <row r="13" customFormat="false" ht="15" hidden="false" customHeight="true" outlineLevel="0" collapsed="false">
      <c r="A13" s="6" t="s">
        <v>85</v>
      </c>
      <c r="B13" s="17" t="n">
        <v>0</v>
      </c>
      <c r="C13" s="17" t="n">
        <v>0</v>
      </c>
      <c r="D13" s="17" t="n">
        <v>0</v>
      </c>
      <c r="E13" s="17" t="n">
        <v>100</v>
      </c>
      <c r="F13" s="3" t="s">
        <v>86</v>
      </c>
    </row>
    <row r="14" customFormat="false" ht="15" hidden="false" customHeight="true" outlineLevel="0" collapsed="false">
      <c r="A14" s="6" t="s">
        <v>87</v>
      </c>
      <c r="B14" s="17" t="n">
        <v>200</v>
      </c>
      <c r="C14" s="17" t="n">
        <v>200</v>
      </c>
      <c r="D14" s="17" t="n">
        <v>400</v>
      </c>
      <c r="E14" s="17" t="n">
        <v>400</v>
      </c>
      <c r="F14" s="3" t="s">
        <v>88</v>
      </c>
    </row>
    <row r="15" customFormat="false" ht="15" hidden="false" customHeight="true" outlineLevel="0" collapsed="false">
      <c r="A15" s="18" t="s">
        <v>89</v>
      </c>
      <c r="B15" s="19" t="n">
        <f aca="false">SUM(B6:B14)</f>
        <v>261.56</v>
      </c>
      <c r="C15" s="19" t="n">
        <f aca="false">SUM(C6:C14)</f>
        <v>261.56</v>
      </c>
      <c r="D15" s="19" t="n">
        <f aca="false">SUM(D6:D14)</f>
        <v>572.56</v>
      </c>
      <c r="E15" s="19" t="n">
        <f aca="false">SUM(E6:E14)</f>
        <v>972.56</v>
      </c>
    </row>
    <row r="16" customFormat="false" ht="15" hidden="false" customHeight="true" outlineLevel="0" collapsed="false">
      <c r="A16" s="18" t="s">
        <v>90</v>
      </c>
      <c r="B16" s="20" t="n">
        <f aca="false">B15*12</f>
        <v>3138.72</v>
      </c>
      <c r="C16" s="20" t="n">
        <f aca="false">C15*12</f>
        <v>3138.72</v>
      </c>
      <c r="D16" s="20" t="n">
        <f aca="false">D15*12</f>
        <v>6870.72</v>
      </c>
      <c r="E16" s="20" t="n">
        <f aca="false">E15*12</f>
        <v>11670.72</v>
      </c>
    </row>
    <row r="17" customFormat="false" ht="15" hidden="false" customHeight="true" outlineLevel="0" collapsed="false">
      <c r="A17" s="6" t="s">
        <v>49</v>
      </c>
      <c r="B17" s="21" t="n">
        <f aca="false">Assumptions!$C$33</f>
        <v>0</v>
      </c>
      <c r="C17" s="21" t="n">
        <f aca="false">Assumptions!$C$34</f>
        <v>0</v>
      </c>
      <c r="D17" s="21" t="n">
        <f aca="false">Assumptions!$C$35</f>
        <v>1</v>
      </c>
      <c r="E17" s="21" t="n">
        <f aca="false">Assumptions!$C$36</f>
        <v>3</v>
      </c>
    </row>
    <row r="18" customFormat="false" ht="15" hidden="false" customHeight="true" outlineLevel="0" collapsed="false">
      <c r="A18" s="18" t="s">
        <v>91</v>
      </c>
      <c r="B18" s="20" t="n">
        <f aca="false">B17*Assumptions!$B$19</f>
        <v>0</v>
      </c>
      <c r="C18" s="20" t="n">
        <f aca="false">C17*Assumptions!$B$19</f>
        <v>0</v>
      </c>
      <c r="D18" s="20" t="n">
        <f aca="false">D17*Assumptions!$B$19</f>
        <v>80000</v>
      </c>
      <c r="E18" s="20" t="n">
        <f aca="false">E17*Assumptions!$B$19</f>
        <v>240000</v>
      </c>
    </row>
    <row r="19" customFormat="false" ht="15" hidden="false" customHeight="true" outlineLevel="0" collapsed="false">
      <c r="A19" s="18" t="s">
        <v>92</v>
      </c>
      <c r="B19" s="22" t="n">
        <f aca="false">B16+B18</f>
        <v>3138.72</v>
      </c>
      <c r="C19" s="22" t="n">
        <f aca="false">C16+C18</f>
        <v>3138.72</v>
      </c>
      <c r="D19" s="22" t="n">
        <f aca="false">D16+D18</f>
        <v>86870.72</v>
      </c>
      <c r="E19" s="22" t="n">
        <f aca="false">E16+E18</f>
        <v>251670.72</v>
      </c>
    </row>
    <row r="21" customFormat="false" ht="15" hidden="false" customHeight="true" outlineLevel="0" collapsed="false">
      <c r="A21" s="3"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O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9"/>
    <col collapsed="false" customWidth="true" hidden="false" outlineLevel="0" max="4" min="4" style="1" width="15"/>
    <col collapsed="false" customWidth="true" hidden="false" outlineLevel="0" max="5" min="5" style="1" width="8"/>
    <col collapsed="false" customWidth="true" hidden="false" outlineLevel="0" max="7" min="6" style="1" width="14"/>
    <col collapsed="false" customWidth="true" hidden="false" outlineLevel="0" max="9" min="8" style="1" width="15"/>
    <col collapsed="false" customWidth="true" hidden="false" outlineLevel="0" max="10" min="10" style="1" width="13"/>
    <col collapsed="false" customWidth="true" hidden="false" outlineLevel="0" max="12" min="11" style="1" width="15"/>
    <col collapsed="false" customWidth="true" hidden="false" outlineLevel="0" max="15" min="13" style="1" width="14"/>
  </cols>
  <sheetData>
    <row r="1" customFormat="false" ht="17.25" hidden="false" customHeight="true" outlineLevel="0" collapsed="false">
      <c r="A1" s="2" t="s">
        <v>94</v>
      </c>
    </row>
    <row r="2" customFormat="false" ht="15" hidden="false" customHeight="true" outlineLevel="0" collapsed="false">
      <c r="A2" s="3" t="s">
        <v>95</v>
      </c>
    </row>
    <row r="3" customFormat="false" ht="15" hidden="false" customHeight="true" outlineLevel="0" collapsed="false">
      <c r="A3" s="4" t="s">
        <v>96</v>
      </c>
    </row>
    <row r="5" customFormat="false" ht="15" hidden="false" customHeight="true" outlineLevel="0" collapsed="false">
      <c r="A5" s="16" t="s">
        <v>97</v>
      </c>
    </row>
    <row r="6" customFormat="false" ht="30" hidden="false" customHeight="true" outlineLevel="0" collapsed="false">
      <c r="A6" s="23" t="s">
        <v>98</v>
      </c>
      <c r="B6" s="23" t="s">
        <v>99</v>
      </c>
      <c r="C6" s="23" t="s">
        <v>48</v>
      </c>
      <c r="D6" s="23" t="s">
        <v>100</v>
      </c>
      <c r="E6" s="23" t="s">
        <v>40</v>
      </c>
      <c r="F6" s="23" t="s">
        <v>101</v>
      </c>
      <c r="G6" s="23" t="s">
        <v>102</v>
      </c>
      <c r="H6" s="23" t="s">
        <v>103</v>
      </c>
      <c r="I6" s="23" t="s">
        <v>104</v>
      </c>
      <c r="J6" s="23" t="s">
        <v>105</v>
      </c>
      <c r="K6" s="23" t="s">
        <v>106</v>
      </c>
      <c r="L6" s="23" t="s">
        <v>107</v>
      </c>
      <c r="M6" s="23" t="s">
        <v>108</v>
      </c>
      <c r="N6" s="23" t="s">
        <v>109</v>
      </c>
      <c r="O6" s="23" t="s">
        <v>110</v>
      </c>
    </row>
    <row r="7" customFormat="false" ht="15" hidden="false" customHeight="true" outlineLevel="0" collapsed="false">
      <c r="A7" s="24" t="s">
        <v>111</v>
      </c>
      <c r="B7" s="25" t="n">
        <f aca="false">Assumptions!$B$10</f>
        <v>110</v>
      </c>
      <c r="C7" s="26" t="n">
        <f aca="false">Assumptions!$B$33</f>
        <v>10</v>
      </c>
      <c r="D7" s="27" t="n">
        <f aca="false">B7*C7*12</f>
        <v>13200</v>
      </c>
      <c r="E7" s="28" t="n">
        <f aca="false">Assumptions!$B$27</f>
        <v>0.06</v>
      </c>
      <c r="F7" s="27" t="n">
        <f aca="false">D7*E7</f>
        <v>792</v>
      </c>
      <c r="G7" s="27" t="n">
        <f aca="false">-(D7*Assumptions!$B$14+IFERROR(D7/Assumptions!$B$13,0)*Assumptions!$B$15)</f>
        <v>-462</v>
      </c>
      <c r="H7" s="27" t="n">
        <f aca="false">-D7*Assumptions!$B$17</f>
        <v>-132</v>
      </c>
      <c r="I7" s="27" t="n">
        <f aca="false">F7+G7+H7</f>
        <v>198</v>
      </c>
      <c r="J7" s="29" t="n">
        <f aca="false">-Costs!B$16</f>
        <v>-3138.72</v>
      </c>
      <c r="K7" s="29" t="n">
        <f aca="false">-Costs!B$18</f>
        <v>-0</v>
      </c>
      <c r="L7" s="30" t="n">
        <f aca="false">I7+J7+K7</f>
        <v>-2940.72</v>
      </c>
      <c r="M7" s="27" t="n">
        <f aca="false">IF(L7&gt;0,L7*Assumptions!$B$23,L7)</f>
        <v>-2940.72</v>
      </c>
      <c r="N7" s="27" t="n">
        <f aca="false">IF(L7&gt;0,L7*(1-Assumptions!$B$23),0)</f>
        <v>0</v>
      </c>
      <c r="O7" s="31" t="n">
        <f aca="false">IFERROR(MAX(M7,0)/Assumptions!$B$24,0)</f>
        <v>0</v>
      </c>
    </row>
    <row r="8" customFormat="false" ht="15" hidden="false" customHeight="true" outlineLevel="0" collapsed="false">
      <c r="A8" s="6" t="s">
        <v>111</v>
      </c>
      <c r="B8" s="32" t="n">
        <f aca="false">Assumptions!$B$10</f>
        <v>110</v>
      </c>
      <c r="C8" s="21" t="n">
        <f aca="false">Assumptions!$B$33</f>
        <v>10</v>
      </c>
      <c r="D8" s="33" t="n">
        <f aca="false">B8*C8*12</f>
        <v>13200</v>
      </c>
      <c r="E8" s="34" t="n">
        <f aca="false">Assumptions!$B$28</f>
        <v>0.07</v>
      </c>
      <c r="F8" s="33" t="n">
        <f aca="false">D8*E8</f>
        <v>924</v>
      </c>
      <c r="G8" s="33" t="n">
        <f aca="false">-(D8*Assumptions!$B$14+IFERROR(D8/Assumptions!$B$13,0)*Assumptions!$B$15)</f>
        <v>-462</v>
      </c>
      <c r="H8" s="33" t="n">
        <f aca="false">-D8*Assumptions!$B$17</f>
        <v>-132</v>
      </c>
      <c r="I8" s="33" t="n">
        <f aca="false">F8+G8+H8</f>
        <v>330</v>
      </c>
      <c r="J8" s="35" t="n">
        <f aca="false">-Costs!B$16</f>
        <v>-3138.72</v>
      </c>
      <c r="K8" s="35" t="n">
        <f aca="false">-Costs!B$18</f>
        <v>-0</v>
      </c>
      <c r="L8" s="20" t="n">
        <f aca="false">I8+J8+K8</f>
        <v>-2808.72</v>
      </c>
      <c r="M8" s="33" t="n">
        <f aca="false">IF(L8&gt;0,L8*Assumptions!$B$23,L8)</f>
        <v>-2808.72</v>
      </c>
      <c r="N8" s="33" t="n">
        <f aca="false">IF(L8&gt;0,L8*(1-Assumptions!$B$23),0)</f>
        <v>0</v>
      </c>
      <c r="O8" s="15" t="n">
        <f aca="false">IFERROR(MAX(M8,0)/Assumptions!$B$24,0)</f>
        <v>0</v>
      </c>
    </row>
    <row r="9" customFormat="false" ht="15" hidden="false" customHeight="true" outlineLevel="0" collapsed="false">
      <c r="A9" s="24" t="s">
        <v>111</v>
      </c>
      <c r="B9" s="25" t="n">
        <f aca="false">Assumptions!$B$10</f>
        <v>110</v>
      </c>
      <c r="C9" s="26" t="n">
        <f aca="false">Assumptions!$B$33</f>
        <v>10</v>
      </c>
      <c r="D9" s="27" t="n">
        <f aca="false">B9*C9*12</f>
        <v>13200</v>
      </c>
      <c r="E9" s="28" t="n">
        <f aca="false">Assumptions!$B$29</f>
        <v>0.08</v>
      </c>
      <c r="F9" s="27" t="n">
        <f aca="false">D9*E9</f>
        <v>1056</v>
      </c>
      <c r="G9" s="27" t="n">
        <f aca="false">-(D9*Assumptions!$B$14+IFERROR(D9/Assumptions!$B$13,0)*Assumptions!$B$15)</f>
        <v>-462</v>
      </c>
      <c r="H9" s="27" t="n">
        <f aca="false">-D9*Assumptions!$B$17</f>
        <v>-132</v>
      </c>
      <c r="I9" s="27" t="n">
        <f aca="false">F9+G9+H9</f>
        <v>462</v>
      </c>
      <c r="J9" s="29" t="n">
        <f aca="false">-Costs!B$16</f>
        <v>-3138.72</v>
      </c>
      <c r="K9" s="29" t="n">
        <f aca="false">-Costs!B$18</f>
        <v>-0</v>
      </c>
      <c r="L9" s="30" t="n">
        <f aca="false">I9+J9+K9</f>
        <v>-2676.72</v>
      </c>
      <c r="M9" s="27" t="n">
        <f aca="false">IF(L9&gt;0,L9*Assumptions!$B$23,L9)</f>
        <v>-2676.72</v>
      </c>
      <c r="N9" s="27" t="n">
        <f aca="false">IF(L9&gt;0,L9*(1-Assumptions!$B$23),0)</f>
        <v>0</v>
      </c>
      <c r="O9" s="31" t="n">
        <f aca="false">IFERROR(MAX(M9,0)/Assumptions!$B$24,0)</f>
        <v>0</v>
      </c>
    </row>
    <row r="10" customFormat="false" ht="15" hidden="false" customHeight="true" outlineLevel="0" collapsed="false">
      <c r="A10" s="6" t="s">
        <v>111</v>
      </c>
      <c r="B10" s="32" t="n">
        <f aca="false">Assumptions!$B$10</f>
        <v>110</v>
      </c>
      <c r="C10" s="21" t="n">
        <f aca="false">Assumptions!$B$33</f>
        <v>10</v>
      </c>
      <c r="D10" s="33" t="n">
        <f aca="false">B10*C10*12</f>
        <v>13200</v>
      </c>
      <c r="E10" s="34" t="n">
        <f aca="false">Assumptions!$B$30</f>
        <v>0.09</v>
      </c>
      <c r="F10" s="33" t="n">
        <f aca="false">D10*E10</f>
        <v>1188</v>
      </c>
      <c r="G10" s="33" t="n">
        <f aca="false">-(D10*Assumptions!$B$14+IFERROR(D10/Assumptions!$B$13,0)*Assumptions!$B$15)</f>
        <v>-462</v>
      </c>
      <c r="H10" s="33" t="n">
        <f aca="false">-D10*Assumptions!$B$17</f>
        <v>-132</v>
      </c>
      <c r="I10" s="33" t="n">
        <f aca="false">F10+G10+H10</f>
        <v>594</v>
      </c>
      <c r="J10" s="35" t="n">
        <f aca="false">-Costs!B$16</f>
        <v>-3138.72</v>
      </c>
      <c r="K10" s="35" t="n">
        <f aca="false">-Costs!B$18</f>
        <v>-0</v>
      </c>
      <c r="L10" s="20" t="n">
        <f aca="false">I10+J10+K10</f>
        <v>-2544.72</v>
      </c>
      <c r="M10" s="33" t="n">
        <f aca="false">IF(L10&gt;0,L10*Assumptions!$B$23,L10)</f>
        <v>-2544.72</v>
      </c>
      <c r="N10" s="33" t="n">
        <f aca="false">IF(L10&gt;0,L10*(1-Assumptions!$B$23),0)</f>
        <v>0</v>
      </c>
      <c r="O10" s="15" t="n">
        <f aca="false">IFERROR(MAX(M10,0)/Assumptions!$B$24,0)</f>
        <v>0</v>
      </c>
    </row>
    <row r="11" customFormat="false" ht="15" hidden="false" customHeight="true" outlineLevel="0" collapsed="false">
      <c r="A11" s="24" t="s">
        <v>111</v>
      </c>
      <c r="B11" s="25" t="n">
        <f aca="false">Assumptions!$B$10</f>
        <v>110</v>
      </c>
      <c r="C11" s="26" t="n">
        <f aca="false">Assumptions!$B$34</f>
        <v>100</v>
      </c>
      <c r="D11" s="27" t="n">
        <f aca="false">B11*C11*12</f>
        <v>132000</v>
      </c>
      <c r="E11" s="28" t="n">
        <f aca="false">Assumptions!$B$27</f>
        <v>0.06</v>
      </c>
      <c r="F11" s="27" t="n">
        <f aca="false">D11*E11</f>
        <v>7920</v>
      </c>
      <c r="G11" s="27" t="n">
        <f aca="false">-(D11*Assumptions!$B$14+IFERROR(D11/Assumptions!$B$13,0)*Assumptions!$B$15)</f>
        <v>-4620</v>
      </c>
      <c r="H11" s="27" t="n">
        <f aca="false">-D11*Assumptions!$B$17</f>
        <v>-1320</v>
      </c>
      <c r="I11" s="27" t="n">
        <f aca="false">F11+G11+H11</f>
        <v>1980</v>
      </c>
      <c r="J11" s="29" t="n">
        <f aca="false">-Costs!C$16</f>
        <v>-3138.72</v>
      </c>
      <c r="K11" s="29" t="n">
        <f aca="false">-Costs!C$18</f>
        <v>-0</v>
      </c>
      <c r="L11" s="30" t="n">
        <f aca="false">I11+J11+K11</f>
        <v>-1158.72</v>
      </c>
      <c r="M11" s="27" t="n">
        <f aca="false">IF(L11&gt;0,L11*Assumptions!$B$23,L11)</f>
        <v>-1158.72</v>
      </c>
      <c r="N11" s="27" t="n">
        <f aca="false">IF(L11&gt;0,L11*(1-Assumptions!$B$23),0)</f>
        <v>0</v>
      </c>
      <c r="O11" s="31" t="n">
        <f aca="false">IFERROR(MAX(M11,0)/Assumptions!$B$24,0)</f>
        <v>0</v>
      </c>
    </row>
    <row r="12" customFormat="false" ht="15" hidden="false" customHeight="true" outlineLevel="0" collapsed="false">
      <c r="A12" s="6" t="s">
        <v>111</v>
      </c>
      <c r="B12" s="32" t="n">
        <f aca="false">Assumptions!$B$10</f>
        <v>110</v>
      </c>
      <c r="C12" s="21" t="n">
        <f aca="false">Assumptions!$B$34</f>
        <v>100</v>
      </c>
      <c r="D12" s="33" t="n">
        <f aca="false">B12*C12*12</f>
        <v>132000</v>
      </c>
      <c r="E12" s="34" t="n">
        <f aca="false">Assumptions!$B$28</f>
        <v>0.07</v>
      </c>
      <c r="F12" s="33" t="n">
        <f aca="false">D12*E12</f>
        <v>9240</v>
      </c>
      <c r="G12" s="33" t="n">
        <f aca="false">-(D12*Assumptions!$B$14+IFERROR(D12/Assumptions!$B$13,0)*Assumptions!$B$15)</f>
        <v>-4620</v>
      </c>
      <c r="H12" s="33" t="n">
        <f aca="false">-D12*Assumptions!$B$17</f>
        <v>-1320</v>
      </c>
      <c r="I12" s="33" t="n">
        <f aca="false">F12+G12+H12</f>
        <v>3300</v>
      </c>
      <c r="J12" s="35" t="n">
        <f aca="false">-Costs!C$16</f>
        <v>-3138.72</v>
      </c>
      <c r="K12" s="35" t="n">
        <f aca="false">-Costs!C$18</f>
        <v>-0</v>
      </c>
      <c r="L12" s="20" t="n">
        <f aca="false">I12+J12+K12</f>
        <v>161.28</v>
      </c>
      <c r="M12" s="33" t="n">
        <f aca="false">IF(L12&gt;0,L12*Assumptions!$B$23,L12)</f>
        <v>80.6399999999999</v>
      </c>
      <c r="N12" s="33" t="n">
        <f aca="false">IF(L12&gt;0,L12*(1-Assumptions!$B$23),0)</f>
        <v>80.6399999999999</v>
      </c>
      <c r="O12" s="15" t="n">
        <f aca="false">IFERROR(MAX(M12,0)/Assumptions!$B$24,0)</f>
        <v>1.6128</v>
      </c>
    </row>
    <row r="13" customFormat="false" ht="15" hidden="false" customHeight="true" outlineLevel="0" collapsed="false">
      <c r="A13" s="24" t="s">
        <v>111</v>
      </c>
      <c r="B13" s="25" t="n">
        <f aca="false">Assumptions!$B$10</f>
        <v>110</v>
      </c>
      <c r="C13" s="26" t="n">
        <f aca="false">Assumptions!$B$34</f>
        <v>100</v>
      </c>
      <c r="D13" s="27" t="n">
        <f aca="false">B13*C13*12</f>
        <v>132000</v>
      </c>
      <c r="E13" s="28" t="n">
        <f aca="false">Assumptions!$B$29</f>
        <v>0.08</v>
      </c>
      <c r="F13" s="27" t="n">
        <f aca="false">D13*E13</f>
        <v>10560</v>
      </c>
      <c r="G13" s="27" t="n">
        <f aca="false">-(D13*Assumptions!$B$14+IFERROR(D13/Assumptions!$B$13,0)*Assumptions!$B$15)</f>
        <v>-4620</v>
      </c>
      <c r="H13" s="27" t="n">
        <f aca="false">-D13*Assumptions!$B$17</f>
        <v>-1320</v>
      </c>
      <c r="I13" s="27" t="n">
        <f aca="false">F13+G13+H13</f>
        <v>4620</v>
      </c>
      <c r="J13" s="29" t="n">
        <f aca="false">-Costs!C$16</f>
        <v>-3138.72</v>
      </c>
      <c r="K13" s="29" t="n">
        <f aca="false">-Costs!C$18</f>
        <v>-0</v>
      </c>
      <c r="L13" s="30" t="n">
        <f aca="false">I13+J13+K13</f>
        <v>1481.28</v>
      </c>
      <c r="M13" s="27" t="n">
        <f aca="false">IF(L13&gt;0,L13*Assumptions!$B$23,L13)</f>
        <v>740.64</v>
      </c>
      <c r="N13" s="27" t="n">
        <f aca="false">IF(L13&gt;0,L13*(1-Assumptions!$B$23),0)</f>
        <v>740.64</v>
      </c>
      <c r="O13" s="31" t="n">
        <f aca="false">IFERROR(MAX(M13,0)/Assumptions!$B$24,0)</f>
        <v>14.8128</v>
      </c>
    </row>
    <row r="14" customFormat="false" ht="15" hidden="false" customHeight="true" outlineLevel="0" collapsed="false">
      <c r="A14" s="6" t="s">
        <v>111</v>
      </c>
      <c r="B14" s="32" t="n">
        <f aca="false">Assumptions!$B$10</f>
        <v>110</v>
      </c>
      <c r="C14" s="21" t="n">
        <f aca="false">Assumptions!$B$34</f>
        <v>100</v>
      </c>
      <c r="D14" s="33" t="n">
        <f aca="false">B14*C14*12</f>
        <v>132000</v>
      </c>
      <c r="E14" s="34" t="n">
        <f aca="false">Assumptions!$B$30</f>
        <v>0.09</v>
      </c>
      <c r="F14" s="33" t="n">
        <f aca="false">D14*E14</f>
        <v>11880</v>
      </c>
      <c r="G14" s="33" t="n">
        <f aca="false">-(D14*Assumptions!$B$14+IFERROR(D14/Assumptions!$B$13,0)*Assumptions!$B$15)</f>
        <v>-4620</v>
      </c>
      <c r="H14" s="33" t="n">
        <f aca="false">-D14*Assumptions!$B$17</f>
        <v>-1320</v>
      </c>
      <c r="I14" s="33" t="n">
        <f aca="false">F14+G14+H14</f>
        <v>5940</v>
      </c>
      <c r="J14" s="35" t="n">
        <f aca="false">-Costs!C$16</f>
        <v>-3138.72</v>
      </c>
      <c r="K14" s="35" t="n">
        <f aca="false">-Costs!C$18</f>
        <v>-0</v>
      </c>
      <c r="L14" s="20" t="n">
        <f aca="false">I14+J14+K14</f>
        <v>2801.28</v>
      </c>
      <c r="M14" s="33" t="n">
        <f aca="false">IF(L14&gt;0,L14*Assumptions!$B$23,L14)</f>
        <v>1400.64</v>
      </c>
      <c r="N14" s="33" t="n">
        <f aca="false">IF(L14&gt;0,L14*(1-Assumptions!$B$23),0)</f>
        <v>1400.64</v>
      </c>
      <c r="O14" s="15" t="n">
        <f aca="false">IFERROR(MAX(M14,0)/Assumptions!$B$24,0)</f>
        <v>28.0128</v>
      </c>
    </row>
    <row r="15" customFormat="false" ht="15" hidden="false" customHeight="true" outlineLevel="0" collapsed="false">
      <c r="A15" s="24" t="s">
        <v>111</v>
      </c>
      <c r="B15" s="25" t="n">
        <f aca="false">Assumptions!$B$10</f>
        <v>110</v>
      </c>
      <c r="C15" s="26" t="n">
        <f aca="false">Assumptions!$B$35</f>
        <v>1000</v>
      </c>
      <c r="D15" s="27" t="n">
        <f aca="false">B15*C15*12</f>
        <v>1320000</v>
      </c>
      <c r="E15" s="28" t="n">
        <f aca="false">Assumptions!$B$27</f>
        <v>0.06</v>
      </c>
      <c r="F15" s="27" t="n">
        <f aca="false">D15*E15</f>
        <v>79200</v>
      </c>
      <c r="G15" s="27" t="n">
        <f aca="false">-(D15*Assumptions!$B$14+IFERROR(D15/Assumptions!$B$13,0)*Assumptions!$B$15)</f>
        <v>-46200</v>
      </c>
      <c r="H15" s="27" t="n">
        <f aca="false">-D15*Assumptions!$B$17</f>
        <v>-13200</v>
      </c>
      <c r="I15" s="27" t="n">
        <f aca="false">F15+G15+H15</f>
        <v>19800</v>
      </c>
      <c r="J15" s="29" t="n">
        <f aca="false">-Costs!D$16</f>
        <v>-6870.72</v>
      </c>
      <c r="K15" s="29" t="n">
        <f aca="false">-Costs!D$18</f>
        <v>-80000</v>
      </c>
      <c r="L15" s="30" t="n">
        <f aca="false">I15+J15+K15</f>
        <v>-67070.72</v>
      </c>
      <c r="M15" s="27" t="n">
        <f aca="false">IF(L15&gt;0,L15*Assumptions!$B$23,L15)</f>
        <v>-67070.72</v>
      </c>
      <c r="N15" s="27" t="n">
        <f aca="false">IF(L15&gt;0,L15*(1-Assumptions!$B$23),0)</f>
        <v>0</v>
      </c>
      <c r="O15" s="31" t="n">
        <f aca="false">IFERROR(MAX(M15,0)/Assumptions!$B$24,0)</f>
        <v>0</v>
      </c>
    </row>
    <row r="16" customFormat="false" ht="15" hidden="false" customHeight="true" outlineLevel="0" collapsed="false">
      <c r="A16" s="6" t="s">
        <v>111</v>
      </c>
      <c r="B16" s="32" t="n">
        <f aca="false">Assumptions!$B$10</f>
        <v>110</v>
      </c>
      <c r="C16" s="21" t="n">
        <f aca="false">Assumptions!$B$35</f>
        <v>1000</v>
      </c>
      <c r="D16" s="33" t="n">
        <f aca="false">B16*C16*12</f>
        <v>1320000</v>
      </c>
      <c r="E16" s="34" t="n">
        <f aca="false">Assumptions!$B$28</f>
        <v>0.07</v>
      </c>
      <c r="F16" s="33" t="n">
        <f aca="false">D16*E16</f>
        <v>92400</v>
      </c>
      <c r="G16" s="33" t="n">
        <f aca="false">-(D16*Assumptions!$B$14+IFERROR(D16/Assumptions!$B$13,0)*Assumptions!$B$15)</f>
        <v>-46200</v>
      </c>
      <c r="H16" s="33" t="n">
        <f aca="false">-D16*Assumptions!$B$17</f>
        <v>-13200</v>
      </c>
      <c r="I16" s="33" t="n">
        <f aca="false">F16+G16+H16</f>
        <v>33000</v>
      </c>
      <c r="J16" s="35" t="n">
        <f aca="false">-Costs!D$16</f>
        <v>-6870.72</v>
      </c>
      <c r="K16" s="35" t="n">
        <f aca="false">-Costs!D$18</f>
        <v>-80000</v>
      </c>
      <c r="L16" s="20" t="n">
        <f aca="false">I16+J16+K16</f>
        <v>-53870.72</v>
      </c>
      <c r="M16" s="33" t="n">
        <f aca="false">IF(L16&gt;0,L16*Assumptions!$B$23,L16)</f>
        <v>-53870.72</v>
      </c>
      <c r="N16" s="33" t="n">
        <f aca="false">IF(L16&gt;0,L16*(1-Assumptions!$B$23),0)</f>
        <v>0</v>
      </c>
      <c r="O16" s="15" t="n">
        <f aca="false">IFERROR(MAX(M16,0)/Assumptions!$B$24,0)</f>
        <v>0</v>
      </c>
    </row>
    <row r="17" customFormat="false" ht="15" hidden="false" customHeight="true" outlineLevel="0" collapsed="false">
      <c r="A17" s="24" t="s">
        <v>111</v>
      </c>
      <c r="B17" s="25" t="n">
        <f aca="false">Assumptions!$B$10</f>
        <v>110</v>
      </c>
      <c r="C17" s="26" t="n">
        <f aca="false">Assumptions!$B$35</f>
        <v>1000</v>
      </c>
      <c r="D17" s="27" t="n">
        <f aca="false">B17*C17*12</f>
        <v>1320000</v>
      </c>
      <c r="E17" s="28" t="n">
        <f aca="false">Assumptions!$B$29</f>
        <v>0.08</v>
      </c>
      <c r="F17" s="27" t="n">
        <f aca="false">D17*E17</f>
        <v>105600</v>
      </c>
      <c r="G17" s="27" t="n">
        <f aca="false">-(D17*Assumptions!$B$14+IFERROR(D17/Assumptions!$B$13,0)*Assumptions!$B$15)</f>
        <v>-46200</v>
      </c>
      <c r="H17" s="27" t="n">
        <f aca="false">-D17*Assumptions!$B$17</f>
        <v>-13200</v>
      </c>
      <c r="I17" s="27" t="n">
        <f aca="false">F17+G17+H17</f>
        <v>46200</v>
      </c>
      <c r="J17" s="29" t="n">
        <f aca="false">-Costs!D$16</f>
        <v>-6870.72</v>
      </c>
      <c r="K17" s="29" t="n">
        <f aca="false">-Costs!D$18</f>
        <v>-80000</v>
      </c>
      <c r="L17" s="30" t="n">
        <f aca="false">I17+J17+K17</f>
        <v>-40670.72</v>
      </c>
      <c r="M17" s="27" t="n">
        <f aca="false">IF(L17&gt;0,L17*Assumptions!$B$23,L17)</f>
        <v>-40670.72</v>
      </c>
      <c r="N17" s="27" t="n">
        <f aca="false">IF(L17&gt;0,L17*(1-Assumptions!$B$23),0)</f>
        <v>0</v>
      </c>
      <c r="O17" s="31" t="n">
        <f aca="false">IFERROR(MAX(M17,0)/Assumptions!$B$24,0)</f>
        <v>0</v>
      </c>
    </row>
    <row r="18" customFormat="false" ht="15" hidden="false" customHeight="true" outlineLevel="0" collapsed="false">
      <c r="A18" s="6" t="s">
        <v>111</v>
      </c>
      <c r="B18" s="32" t="n">
        <f aca="false">Assumptions!$B$10</f>
        <v>110</v>
      </c>
      <c r="C18" s="21" t="n">
        <f aca="false">Assumptions!$B$35</f>
        <v>1000</v>
      </c>
      <c r="D18" s="33" t="n">
        <f aca="false">B18*C18*12</f>
        <v>1320000</v>
      </c>
      <c r="E18" s="34" t="n">
        <f aca="false">Assumptions!$B$30</f>
        <v>0.09</v>
      </c>
      <c r="F18" s="33" t="n">
        <f aca="false">D18*E18</f>
        <v>118800</v>
      </c>
      <c r="G18" s="33" t="n">
        <f aca="false">-(D18*Assumptions!$B$14+IFERROR(D18/Assumptions!$B$13,0)*Assumptions!$B$15)</f>
        <v>-46200</v>
      </c>
      <c r="H18" s="33" t="n">
        <f aca="false">-D18*Assumptions!$B$17</f>
        <v>-13200</v>
      </c>
      <c r="I18" s="33" t="n">
        <f aca="false">F18+G18+H18</f>
        <v>59400</v>
      </c>
      <c r="J18" s="35" t="n">
        <f aca="false">-Costs!D$16</f>
        <v>-6870.72</v>
      </c>
      <c r="K18" s="35" t="n">
        <f aca="false">-Costs!D$18</f>
        <v>-80000</v>
      </c>
      <c r="L18" s="20" t="n">
        <f aca="false">I18+J18+K18</f>
        <v>-27470.72</v>
      </c>
      <c r="M18" s="33" t="n">
        <f aca="false">IF(L18&gt;0,L18*Assumptions!$B$23,L18)</f>
        <v>-27470.72</v>
      </c>
      <c r="N18" s="33" t="n">
        <f aca="false">IF(L18&gt;0,L18*(1-Assumptions!$B$23),0)</f>
        <v>0</v>
      </c>
      <c r="O18" s="15" t="n">
        <f aca="false">IFERROR(MAX(M18,0)/Assumptions!$B$24,0)</f>
        <v>0</v>
      </c>
    </row>
    <row r="19" customFormat="false" ht="15" hidden="false" customHeight="true" outlineLevel="0" collapsed="false">
      <c r="A19" s="24" t="s">
        <v>111</v>
      </c>
      <c r="B19" s="25" t="n">
        <f aca="false">Assumptions!$B$10</f>
        <v>110</v>
      </c>
      <c r="C19" s="26" t="n">
        <f aca="false">Assumptions!$B$36</f>
        <v>10000</v>
      </c>
      <c r="D19" s="27" t="n">
        <f aca="false">B19*C19*12</f>
        <v>13200000</v>
      </c>
      <c r="E19" s="28" t="n">
        <f aca="false">Assumptions!$B$27</f>
        <v>0.06</v>
      </c>
      <c r="F19" s="27" t="n">
        <f aca="false">D19*E19</f>
        <v>792000</v>
      </c>
      <c r="G19" s="27" t="n">
        <f aca="false">-(D19*Assumptions!$B$14+IFERROR(D19/Assumptions!$B$13,0)*Assumptions!$B$15)</f>
        <v>-462000</v>
      </c>
      <c r="H19" s="27" t="n">
        <f aca="false">-D19*Assumptions!$B$17</f>
        <v>-132000</v>
      </c>
      <c r="I19" s="27" t="n">
        <f aca="false">F19+G19+H19</f>
        <v>198000</v>
      </c>
      <c r="J19" s="29" t="n">
        <f aca="false">-Costs!E$16</f>
        <v>-11670.72</v>
      </c>
      <c r="K19" s="29" t="n">
        <f aca="false">-Costs!E$18</f>
        <v>-240000</v>
      </c>
      <c r="L19" s="30" t="n">
        <f aca="false">I19+J19+K19</f>
        <v>-53670.72</v>
      </c>
      <c r="M19" s="27" t="n">
        <f aca="false">IF(L19&gt;0,L19*Assumptions!$B$23,L19)</f>
        <v>-53670.72</v>
      </c>
      <c r="N19" s="27" t="n">
        <f aca="false">IF(L19&gt;0,L19*(1-Assumptions!$B$23),0)</f>
        <v>0</v>
      </c>
      <c r="O19" s="31" t="n">
        <f aca="false">IFERROR(MAX(M19,0)/Assumptions!$B$24,0)</f>
        <v>0</v>
      </c>
    </row>
    <row r="20" customFormat="false" ht="15" hidden="false" customHeight="true" outlineLevel="0" collapsed="false">
      <c r="A20" s="6" t="s">
        <v>111</v>
      </c>
      <c r="B20" s="32" t="n">
        <f aca="false">Assumptions!$B$10</f>
        <v>110</v>
      </c>
      <c r="C20" s="21" t="n">
        <f aca="false">Assumptions!$B$36</f>
        <v>10000</v>
      </c>
      <c r="D20" s="33" t="n">
        <f aca="false">B20*C20*12</f>
        <v>13200000</v>
      </c>
      <c r="E20" s="34" t="n">
        <f aca="false">Assumptions!$B$28</f>
        <v>0.07</v>
      </c>
      <c r="F20" s="33" t="n">
        <f aca="false">D20*E20</f>
        <v>924000</v>
      </c>
      <c r="G20" s="33" t="n">
        <f aca="false">-(D20*Assumptions!$B$14+IFERROR(D20/Assumptions!$B$13,0)*Assumptions!$B$15)</f>
        <v>-462000</v>
      </c>
      <c r="H20" s="33" t="n">
        <f aca="false">-D20*Assumptions!$B$17</f>
        <v>-132000</v>
      </c>
      <c r="I20" s="33" t="n">
        <f aca="false">F20+G20+H20</f>
        <v>330000</v>
      </c>
      <c r="J20" s="35" t="n">
        <f aca="false">-Costs!E$16</f>
        <v>-11670.72</v>
      </c>
      <c r="K20" s="35" t="n">
        <f aca="false">-Costs!E$18</f>
        <v>-240000</v>
      </c>
      <c r="L20" s="20" t="n">
        <f aca="false">I20+J20+K20</f>
        <v>78329.2800000001</v>
      </c>
      <c r="M20" s="33" t="n">
        <f aca="false">IF(L20&gt;0,L20*Assumptions!$B$23,L20)</f>
        <v>39164.6400000001</v>
      </c>
      <c r="N20" s="33" t="n">
        <f aca="false">IF(L20&gt;0,L20*(1-Assumptions!$B$23),0)</f>
        <v>39164.6400000001</v>
      </c>
      <c r="O20" s="15" t="n">
        <f aca="false">IFERROR(MAX(M20,0)/Assumptions!$B$24,0)</f>
        <v>783.292800000001</v>
      </c>
    </row>
    <row r="21" customFormat="false" ht="15" hidden="false" customHeight="true" outlineLevel="0" collapsed="false">
      <c r="A21" s="24" t="s">
        <v>111</v>
      </c>
      <c r="B21" s="25" t="n">
        <f aca="false">Assumptions!$B$10</f>
        <v>110</v>
      </c>
      <c r="C21" s="26" t="n">
        <f aca="false">Assumptions!$B$36</f>
        <v>10000</v>
      </c>
      <c r="D21" s="27" t="n">
        <f aca="false">B21*C21*12</f>
        <v>13200000</v>
      </c>
      <c r="E21" s="28" t="n">
        <f aca="false">Assumptions!$B$29</f>
        <v>0.08</v>
      </c>
      <c r="F21" s="27" t="n">
        <f aca="false">D21*E21</f>
        <v>1056000</v>
      </c>
      <c r="G21" s="27" t="n">
        <f aca="false">-(D21*Assumptions!$B$14+IFERROR(D21/Assumptions!$B$13,0)*Assumptions!$B$15)</f>
        <v>-462000</v>
      </c>
      <c r="H21" s="27" t="n">
        <f aca="false">-D21*Assumptions!$B$17</f>
        <v>-132000</v>
      </c>
      <c r="I21" s="27" t="n">
        <f aca="false">F21+G21+H21</f>
        <v>462000</v>
      </c>
      <c r="J21" s="29" t="n">
        <f aca="false">-Costs!E$16</f>
        <v>-11670.72</v>
      </c>
      <c r="K21" s="29" t="n">
        <f aca="false">-Costs!E$18</f>
        <v>-240000</v>
      </c>
      <c r="L21" s="30" t="n">
        <f aca="false">I21+J21+K21</f>
        <v>210329.28</v>
      </c>
      <c r="M21" s="27" t="n">
        <f aca="false">IF(L21&gt;0,L21*Assumptions!$B$23,L21)</f>
        <v>105164.64</v>
      </c>
      <c r="N21" s="27" t="n">
        <f aca="false">IF(L21&gt;0,L21*(1-Assumptions!$B$23),0)</f>
        <v>105164.64</v>
      </c>
      <c r="O21" s="31" t="n">
        <f aca="false">IFERROR(MAX(M21,0)/Assumptions!$B$24,0)</f>
        <v>2103.2928</v>
      </c>
    </row>
    <row r="22" customFormat="false" ht="15" hidden="false" customHeight="true" outlineLevel="0" collapsed="false">
      <c r="A22" s="6" t="s">
        <v>111</v>
      </c>
      <c r="B22" s="32" t="n">
        <f aca="false">Assumptions!$B$10</f>
        <v>110</v>
      </c>
      <c r="C22" s="21" t="n">
        <f aca="false">Assumptions!$B$36</f>
        <v>10000</v>
      </c>
      <c r="D22" s="33" t="n">
        <f aca="false">B22*C22*12</f>
        <v>13200000</v>
      </c>
      <c r="E22" s="34" t="n">
        <f aca="false">Assumptions!$B$30</f>
        <v>0.09</v>
      </c>
      <c r="F22" s="33" t="n">
        <f aca="false">D22*E22</f>
        <v>1188000</v>
      </c>
      <c r="G22" s="33" t="n">
        <f aca="false">-(D22*Assumptions!$B$14+IFERROR(D22/Assumptions!$B$13,0)*Assumptions!$B$15)</f>
        <v>-462000</v>
      </c>
      <c r="H22" s="33" t="n">
        <f aca="false">-D22*Assumptions!$B$17</f>
        <v>-132000</v>
      </c>
      <c r="I22" s="33" t="n">
        <f aca="false">F22+G22+H22</f>
        <v>594000</v>
      </c>
      <c r="J22" s="35" t="n">
        <f aca="false">-Costs!E$16</f>
        <v>-11670.72</v>
      </c>
      <c r="K22" s="35" t="n">
        <f aca="false">-Costs!E$18</f>
        <v>-240000</v>
      </c>
      <c r="L22" s="20" t="n">
        <f aca="false">I22+J22+K22</f>
        <v>342329.28</v>
      </c>
      <c r="M22" s="33" t="n">
        <f aca="false">IF(L22&gt;0,L22*Assumptions!$B$23,L22)</f>
        <v>171164.64</v>
      </c>
      <c r="N22" s="33" t="n">
        <f aca="false">IF(L22&gt;0,L22*(1-Assumptions!$B$23),0)</f>
        <v>171164.64</v>
      </c>
      <c r="O22" s="15" t="n">
        <f aca="false">IFERROR(MAX(M22,0)/Assumptions!$B$24,0)</f>
        <v>3423.2928</v>
      </c>
    </row>
    <row r="25" customFormat="false" ht="15" hidden="false" customHeight="true" outlineLevel="0" collapsed="false">
      <c r="A25" s="16" t="s">
        <v>112</v>
      </c>
    </row>
    <row r="26" customFormat="false" ht="30" hidden="false" customHeight="true" outlineLevel="0" collapsed="false">
      <c r="A26" s="23" t="s">
        <v>98</v>
      </c>
      <c r="B26" s="23" t="s">
        <v>99</v>
      </c>
      <c r="C26" s="23" t="s">
        <v>48</v>
      </c>
      <c r="D26" s="23" t="s">
        <v>100</v>
      </c>
      <c r="E26" s="23" t="s">
        <v>40</v>
      </c>
      <c r="F26" s="23" t="s">
        <v>101</v>
      </c>
      <c r="G26" s="23" t="s">
        <v>102</v>
      </c>
      <c r="H26" s="23" t="s">
        <v>103</v>
      </c>
      <c r="I26" s="23" t="s">
        <v>104</v>
      </c>
      <c r="J26" s="23" t="s">
        <v>105</v>
      </c>
      <c r="K26" s="23" t="s">
        <v>106</v>
      </c>
      <c r="L26" s="23" t="s">
        <v>107</v>
      </c>
      <c r="M26" s="23" t="s">
        <v>108</v>
      </c>
      <c r="N26" s="23" t="s">
        <v>109</v>
      </c>
      <c r="O26" s="23" t="s">
        <v>110</v>
      </c>
    </row>
    <row r="27" customFormat="false" ht="15" hidden="false" customHeight="true" outlineLevel="0" collapsed="false">
      <c r="A27" s="24" t="s">
        <v>113</v>
      </c>
      <c r="B27" s="25" t="n">
        <f aca="false">Assumptions!$B$11</f>
        <v>500</v>
      </c>
      <c r="C27" s="26" t="n">
        <f aca="false">Assumptions!$B$33</f>
        <v>10</v>
      </c>
      <c r="D27" s="27" t="n">
        <f aca="false">B27*C27*12</f>
        <v>60000</v>
      </c>
      <c r="E27" s="28" t="n">
        <f aca="false">Assumptions!$B$27</f>
        <v>0.06</v>
      </c>
      <c r="F27" s="27" t="n">
        <f aca="false">D27*E27</f>
        <v>3600</v>
      </c>
      <c r="G27" s="27" t="n">
        <f aca="false">-(D27*Assumptions!$B$14+IFERROR(D27/Assumptions!$B$13,0)*Assumptions!$B$15)</f>
        <v>-2100</v>
      </c>
      <c r="H27" s="27" t="n">
        <f aca="false">-D27*Assumptions!$B$17</f>
        <v>-600</v>
      </c>
      <c r="I27" s="27" t="n">
        <f aca="false">F27+G27+H27</f>
        <v>900</v>
      </c>
      <c r="J27" s="29" t="n">
        <f aca="false">-Costs!B$16</f>
        <v>-3138.72</v>
      </c>
      <c r="K27" s="29" t="n">
        <f aca="false">-Costs!B$18</f>
        <v>-0</v>
      </c>
      <c r="L27" s="30" t="n">
        <f aca="false">I27+J27+K27</f>
        <v>-2238.72</v>
      </c>
      <c r="M27" s="27" t="n">
        <f aca="false">IF(L27&gt;0,L27*Assumptions!$B$23,L27)</f>
        <v>-2238.72</v>
      </c>
      <c r="N27" s="27" t="n">
        <f aca="false">IF(L27&gt;0,L27*(1-Assumptions!$B$23),0)</f>
        <v>0</v>
      </c>
      <c r="O27" s="31" t="n">
        <f aca="false">IFERROR(MAX(M27,0)/Assumptions!$B$24,0)</f>
        <v>0</v>
      </c>
    </row>
    <row r="28" customFormat="false" ht="15" hidden="false" customHeight="true" outlineLevel="0" collapsed="false">
      <c r="A28" s="6" t="s">
        <v>113</v>
      </c>
      <c r="B28" s="32" t="n">
        <f aca="false">Assumptions!$B$11</f>
        <v>500</v>
      </c>
      <c r="C28" s="21" t="n">
        <f aca="false">Assumptions!$B$33</f>
        <v>10</v>
      </c>
      <c r="D28" s="33" t="n">
        <f aca="false">B28*C28*12</f>
        <v>60000</v>
      </c>
      <c r="E28" s="34" t="n">
        <f aca="false">Assumptions!$B$28</f>
        <v>0.07</v>
      </c>
      <c r="F28" s="33" t="n">
        <f aca="false">D28*E28</f>
        <v>4200</v>
      </c>
      <c r="G28" s="33" t="n">
        <f aca="false">-(D28*Assumptions!$B$14+IFERROR(D28/Assumptions!$B$13,0)*Assumptions!$B$15)</f>
        <v>-2100</v>
      </c>
      <c r="H28" s="33" t="n">
        <f aca="false">-D28*Assumptions!$B$17</f>
        <v>-600</v>
      </c>
      <c r="I28" s="33" t="n">
        <f aca="false">F28+G28+H28</f>
        <v>1500</v>
      </c>
      <c r="J28" s="35" t="n">
        <f aca="false">-Costs!B$16</f>
        <v>-3138.72</v>
      </c>
      <c r="K28" s="35" t="n">
        <f aca="false">-Costs!B$18</f>
        <v>-0</v>
      </c>
      <c r="L28" s="20" t="n">
        <f aca="false">I28+J28+K28</f>
        <v>-1638.72</v>
      </c>
      <c r="M28" s="33" t="n">
        <f aca="false">IF(L28&gt;0,L28*Assumptions!$B$23,L28)</f>
        <v>-1638.72</v>
      </c>
      <c r="N28" s="33" t="n">
        <f aca="false">IF(L28&gt;0,L28*(1-Assumptions!$B$23),0)</f>
        <v>0</v>
      </c>
      <c r="O28" s="15" t="n">
        <f aca="false">IFERROR(MAX(M28,0)/Assumptions!$B$24,0)</f>
        <v>0</v>
      </c>
    </row>
    <row r="29" customFormat="false" ht="15" hidden="false" customHeight="true" outlineLevel="0" collapsed="false">
      <c r="A29" s="24" t="s">
        <v>113</v>
      </c>
      <c r="B29" s="25" t="n">
        <f aca="false">Assumptions!$B$11</f>
        <v>500</v>
      </c>
      <c r="C29" s="26" t="n">
        <f aca="false">Assumptions!$B$33</f>
        <v>10</v>
      </c>
      <c r="D29" s="27" t="n">
        <f aca="false">B29*C29*12</f>
        <v>60000</v>
      </c>
      <c r="E29" s="28" t="n">
        <f aca="false">Assumptions!$B$29</f>
        <v>0.08</v>
      </c>
      <c r="F29" s="27" t="n">
        <f aca="false">D29*E29</f>
        <v>4800</v>
      </c>
      <c r="G29" s="27" t="n">
        <f aca="false">-(D29*Assumptions!$B$14+IFERROR(D29/Assumptions!$B$13,0)*Assumptions!$B$15)</f>
        <v>-2100</v>
      </c>
      <c r="H29" s="27" t="n">
        <f aca="false">-D29*Assumptions!$B$17</f>
        <v>-600</v>
      </c>
      <c r="I29" s="27" t="n">
        <f aca="false">F29+G29+H29</f>
        <v>2100</v>
      </c>
      <c r="J29" s="29" t="n">
        <f aca="false">-Costs!B$16</f>
        <v>-3138.72</v>
      </c>
      <c r="K29" s="29" t="n">
        <f aca="false">-Costs!B$18</f>
        <v>-0</v>
      </c>
      <c r="L29" s="30" t="n">
        <f aca="false">I29+J29+K29</f>
        <v>-1038.72</v>
      </c>
      <c r="M29" s="27" t="n">
        <f aca="false">IF(L29&gt;0,L29*Assumptions!$B$23,L29)</f>
        <v>-1038.72</v>
      </c>
      <c r="N29" s="27" t="n">
        <f aca="false">IF(L29&gt;0,L29*(1-Assumptions!$B$23),0)</f>
        <v>0</v>
      </c>
      <c r="O29" s="31" t="n">
        <f aca="false">IFERROR(MAX(M29,0)/Assumptions!$B$24,0)</f>
        <v>0</v>
      </c>
    </row>
    <row r="30" customFormat="false" ht="15" hidden="false" customHeight="true" outlineLevel="0" collapsed="false">
      <c r="A30" s="6" t="s">
        <v>113</v>
      </c>
      <c r="B30" s="32" t="n">
        <f aca="false">Assumptions!$B$11</f>
        <v>500</v>
      </c>
      <c r="C30" s="21" t="n">
        <f aca="false">Assumptions!$B$33</f>
        <v>10</v>
      </c>
      <c r="D30" s="33" t="n">
        <f aca="false">B30*C30*12</f>
        <v>60000</v>
      </c>
      <c r="E30" s="34" t="n">
        <f aca="false">Assumptions!$B$30</f>
        <v>0.09</v>
      </c>
      <c r="F30" s="33" t="n">
        <f aca="false">D30*E30</f>
        <v>5400</v>
      </c>
      <c r="G30" s="33" t="n">
        <f aca="false">-(D30*Assumptions!$B$14+IFERROR(D30/Assumptions!$B$13,0)*Assumptions!$B$15)</f>
        <v>-2100</v>
      </c>
      <c r="H30" s="33" t="n">
        <f aca="false">-D30*Assumptions!$B$17</f>
        <v>-600</v>
      </c>
      <c r="I30" s="33" t="n">
        <f aca="false">F30+G30+H30</f>
        <v>2700</v>
      </c>
      <c r="J30" s="35" t="n">
        <f aca="false">-Costs!B$16</f>
        <v>-3138.72</v>
      </c>
      <c r="K30" s="35" t="n">
        <f aca="false">-Costs!B$18</f>
        <v>-0</v>
      </c>
      <c r="L30" s="20" t="n">
        <f aca="false">I30+J30+K30</f>
        <v>-438.72</v>
      </c>
      <c r="M30" s="33" t="n">
        <f aca="false">IF(L30&gt;0,L30*Assumptions!$B$23,L30)</f>
        <v>-438.72</v>
      </c>
      <c r="N30" s="33" t="n">
        <f aca="false">IF(L30&gt;0,L30*(1-Assumptions!$B$23),0)</f>
        <v>0</v>
      </c>
      <c r="O30" s="15" t="n">
        <f aca="false">IFERROR(MAX(M30,0)/Assumptions!$B$24,0)</f>
        <v>0</v>
      </c>
    </row>
    <row r="31" customFormat="false" ht="15" hidden="false" customHeight="true" outlineLevel="0" collapsed="false">
      <c r="A31" s="24" t="s">
        <v>113</v>
      </c>
      <c r="B31" s="25" t="n">
        <f aca="false">Assumptions!$B$11</f>
        <v>500</v>
      </c>
      <c r="C31" s="26" t="n">
        <f aca="false">Assumptions!$B$34</f>
        <v>100</v>
      </c>
      <c r="D31" s="27" t="n">
        <f aca="false">B31*C31*12</f>
        <v>600000</v>
      </c>
      <c r="E31" s="28" t="n">
        <f aca="false">Assumptions!$B$27</f>
        <v>0.06</v>
      </c>
      <c r="F31" s="27" t="n">
        <f aca="false">D31*E31</f>
        <v>36000</v>
      </c>
      <c r="G31" s="27" t="n">
        <f aca="false">-(D31*Assumptions!$B$14+IFERROR(D31/Assumptions!$B$13,0)*Assumptions!$B$15)</f>
        <v>-21000</v>
      </c>
      <c r="H31" s="27" t="n">
        <f aca="false">-D31*Assumptions!$B$17</f>
        <v>-6000</v>
      </c>
      <c r="I31" s="27" t="n">
        <f aca="false">F31+G31+H31</f>
        <v>9000</v>
      </c>
      <c r="J31" s="29" t="n">
        <f aca="false">-Costs!C$16</f>
        <v>-3138.72</v>
      </c>
      <c r="K31" s="29" t="n">
        <f aca="false">-Costs!C$18</f>
        <v>-0</v>
      </c>
      <c r="L31" s="30" t="n">
        <f aca="false">I31+J31+K31</f>
        <v>5861.28</v>
      </c>
      <c r="M31" s="27" t="n">
        <f aca="false">IF(L31&gt;0,L31*Assumptions!$B$23,L31)</f>
        <v>2930.64</v>
      </c>
      <c r="N31" s="27" t="n">
        <f aca="false">IF(L31&gt;0,L31*(1-Assumptions!$B$23),0)</f>
        <v>2930.64</v>
      </c>
      <c r="O31" s="31" t="n">
        <f aca="false">IFERROR(MAX(M31,0)/Assumptions!$B$24,0)</f>
        <v>58.6128</v>
      </c>
    </row>
    <row r="32" customFormat="false" ht="15" hidden="false" customHeight="true" outlineLevel="0" collapsed="false">
      <c r="A32" s="6" t="s">
        <v>113</v>
      </c>
      <c r="B32" s="32" t="n">
        <f aca="false">Assumptions!$B$11</f>
        <v>500</v>
      </c>
      <c r="C32" s="21" t="n">
        <f aca="false">Assumptions!$B$34</f>
        <v>100</v>
      </c>
      <c r="D32" s="33" t="n">
        <f aca="false">B32*C32*12</f>
        <v>600000</v>
      </c>
      <c r="E32" s="34" t="n">
        <f aca="false">Assumptions!$B$28</f>
        <v>0.07</v>
      </c>
      <c r="F32" s="33" t="n">
        <f aca="false">D32*E32</f>
        <v>42000</v>
      </c>
      <c r="G32" s="33" t="n">
        <f aca="false">-(D32*Assumptions!$B$14+IFERROR(D32/Assumptions!$B$13,0)*Assumptions!$B$15)</f>
        <v>-21000</v>
      </c>
      <c r="H32" s="33" t="n">
        <f aca="false">-D32*Assumptions!$B$17</f>
        <v>-6000</v>
      </c>
      <c r="I32" s="33" t="n">
        <f aca="false">F32+G32+H32</f>
        <v>15000</v>
      </c>
      <c r="J32" s="35" t="n">
        <f aca="false">-Costs!C$16</f>
        <v>-3138.72</v>
      </c>
      <c r="K32" s="35" t="n">
        <f aca="false">-Costs!C$18</f>
        <v>-0</v>
      </c>
      <c r="L32" s="20" t="n">
        <f aca="false">I32+J32+K32</f>
        <v>11861.28</v>
      </c>
      <c r="M32" s="33" t="n">
        <f aca="false">IF(L32&gt;0,L32*Assumptions!$B$23,L32)</f>
        <v>5930.64</v>
      </c>
      <c r="N32" s="33" t="n">
        <f aca="false">IF(L32&gt;0,L32*(1-Assumptions!$B$23),0)</f>
        <v>5930.64</v>
      </c>
      <c r="O32" s="15" t="n">
        <f aca="false">IFERROR(MAX(M32,0)/Assumptions!$B$24,0)</f>
        <v>118.6128</v>
      </c>
    </row>
    <row r="33" customFormat="false" ht="15" hidden="false" customHeight="true" outlineLevel="0" collapsed="false">
      <c r="A33" s="24" t="s">
        <v>113</v>
      </c>
      <c r="B33" s="25" t="n">
        <f aca="false">Assumptions!$B$11</f>
        <v>500</v>
      </c>
      <c r="C33" s="26" t="n">
        <f aca="false">Assumptions!$B$34</f>
        <v>100</v>
      </c>
      <c r="D33" s="27" t="n">
        <f aca="false">B33*C33*12</f>
        <v>600000</v>
      </c>
      <c r="E33" s="28" t="n">
        <f aca="false">Assumptions!$B$29</f>
        <v>0.08</v>
      </c>
      <c r="F33" s="27" t="n">
        <f aca="false">D33*E33</f>
        <v>48000</v>
      </c>
      <c r="G33" s="27" t="n">
        <f aca="false">-(D33*Assumptions!$B$14+IFERROR(D33/Assumptions!$B$13,0)*Assumptions!$B$15)</f>
        <v>-21000</v>
      </c>
      <c r="H33" s="27" t="n">
        <f aca="false">-D33*Assumptions!$B$17</f>
        <v>-6000</v>
      </c>
      <c r="I33" s="27" t="n">
        <f aca="false">F33+G33+H33</f>
        <v>21000</v>
      </c>
      <c r="J33" s="29" t="n">
        <f aca="false">-Costs!C$16</f>
        <v>-3138.72</v>
      </c>
      <c r="K33" s="29" t="n">
        <f aca="false">-Costs!C$18</f>
        <v>-0</v>
      </c>
      <c r="L33" s="30" t="n">
        <f aca="false">I33+J33+K33</f>
        <v>17861.28</v>
      </c>
      <c r="M33" s="27" t="n">
        <f aca="false">IF(L33&gt;0,L33*Assumptions!$B$23,L33)</f>
        <v>8930.64</v>
      </c>
      <c r="N33" s="27" t="n">
        <f aca="false">IF(L33&gt;0,L33*(1-Assumptions!$B$23),0)</f>
        <v>8930.64</v>
      </c>
      <c r="O33" s="31" t="n">
        <f aca="false">IFERROR(MAX(M33,0)/Assumptions!$B$24,0)</f>
        <v>178.6128</v>
      </c>
    </row>
    <row r="34" customFormat="false" ht="15" hidden="false" customHeight="true" outlineLevel="0" collapsed="false">
      <c r="A34" s="6" t="s">
        <v>113</v>
      </c>
      <c r="B34" s="32" t="n">
        <f aca="false">Assumptions!$B$11</f>
        <v>500</v>
      </c>
      <c r="C34" s="21" t="n">
        <f aca="false">Assumptions!$B$34</f>
        <v>100</v>
      </c>
      <c r="D34" s="33" t="n">
        <f aca="false">B34*C34*12</f>
        <v>600000</v>
      </c>
      <c r="E34" s="34" t="n">
        <f aca="false">Assumptions!$B$30</f>
        <v>0.09</v>
      </c>
      <c r="F34" s="33" t="n">
        <f aca="false">D34*E34</f>
        <v>54000</v>
      </c>
      <c r="G34" s="33" t="n">
        <f aca="false">-(D34*Assumptions!$B$14+IFERROR(D34/Assumptions!$B$13,0)*Assumptions!$B$15)</f>
        <v>-21000</v>
      </c>
      <c r="H34" s="33" t="n">
        <f aca="false">-D34*Assumptions!$B$17</f>
        <v>-6000</v>
      </c>
      <c r="I34" s="33" t="n">
        <f aca="false">F34+G34+H34</f>
        <v>27000</v>
      </c>
      <c r="J34" s="35" t="n">
        <f aca="false">-Costs!C$16</f>
        <v>-3138.72</v>
      </c>
      <c r="K34" s="35" t="n">
        <f aca="false">-Costs!C$18</f>
        <v>-0</v>
      </c>
      <c r="L34" s="20" t="n">
        <f aca="false">I34+J34+K34</f>
        <v>23861.28</v>
      </c>
      <c r="M34" s="33" t="n">
        <f aca="false">IF(L34&gt;0,L34*Assumptions!$B$23,L34)</f>
        <v>11930.64</v>
      </c>
      <c r="N34" s="33" t="n">
        <f aca="false">IF(L34&gt;0,L34*(1-Assumptions!$B$23),0)</f>
        <v>11930.64</v>
      </c>
      <c r="O34" s="15" t="n">
        <f aca="false">IFERROR(MAX(M34,0)/Assumptions!$B$24,0)</f>
        <v>238.6128</v>
      </c>
    </row>
    <row r="35" customFormat="false" ht="15" hidden="false" customHeight="true" outlineLevel="0" collapsed="false">
      <c r="A35" s="24" t="s">
        <v>113</v>
      </c>
      <c r="B35" s="25" t="n">
        <f aca="false">Assumptions!$B$11</f>
        <v>500</v>
      </c>
      <c r="C35" s="26" t="n">
        <f aca="false">Assumptions!$B$35</f>
        <v>1000</v>
      </c>
      <c r="D35" s="27" t="n">
        <f aca="false">B35*C35*12</f>
        <v>6000000</v>
      </c>
      <c r="E35" s="28" t="n">
        <f aca="false">Assumptions!$B$27</f>
        <v>0.06</v>
      </c>
      <c r="F35" s="27" t="n">
        <f aca="false">D35*E35</f>
        <v>360000</v>
      </c>
      <c r="G35" s="27" t="n">
        <f aca="false">-(D35*Assumptions!$B$14+IFERROR(D35/Assumptions!$B$13,0)*Assumptions!$B$15)</f>
        <v>-210000</v>
      </c>
      <c r="H35" s="27" t="n">
        <f aca="false">-D35*Assumptions!$B$17</f>
        <v>-60000</v>
      </c>
      <c r="I35" s="27" t="n">
        <f aca="false">F35+G35+H35</f>
        <v>90000</v>
      </c>
      <c r="J35" s="29" t="n">
        <f aca="false">-Costs!D$16</f>
        <v>-6870.72</v>
      </c>
      <c r="K35" s="29" t="n">
        <f aca="false">-Costs!D$18</f>
        <v>-80000</v>
      </c>
      <c r="L35" s="30" t="n">
        <f aca="false">I35+J35+K35</f>
        <v>3129.28</v>
      </c>
      <c r="M35" s="27" t="n">
        <f aca="false">IF(L35&gt;0,L35*Assumptions!$B$23,L35)</f>
        <v>1564.64</v>
      </c>
      <c r="N35" s="27" t="n">
        <f aca="false">IF(L35&gt;0,L35*(1-Assumptions!$B$23),0)</f>
        <v>1564.64</v>
      </c>
      <c r="O35" s="31" t="n">
        <f aca="false">IFERROR(MAX(M35,0)/Assumptions!$B$24,0)</f>
        <v>31.2928</v>
      </c>
    </row>
    <row r="36" customFormat="false" ht="15" hidden="false" customHeight="true" outlineLevel="0" collapsed="false">
      <c r="A36" s="6" t="s">
        <v>113</v>
      </c>
      <c r="B36" s="32" t="n">
        <f aca="false">Assumptions!$B$11</f>
        <v>500</v>
      </c>
      <c r="C36" s="21" t="n">
        <f aca="false">Assumptions!$B$35</f>
        <v>1000</v>
      </c>
      <c r="D36" s="33" t="n">
        <f aca="false">B36*C36*12</f>
        <v>6000000</v>
      </c>
      <c r="E36" s="34" t="n">
        <f aca="false">Assumptions!$B$28</f>
        <v>0.07</v>
      </c>
      <c r="F36" s="33" t="n">
        <f aca="false">D36*E36</f>
        <v>420000</v>
      </c>
      <c r="G36" s="33" t="n">
        <f aca="false">-(D36*Assumptions!$B$14+IFERROR(D36/Assumptions!$B$13,0)*Assumptions!$B$15)</f>
        <v>-210000</v>
      </c>
      <c r="H36" s="33" t="n">
        <f aca="false">-D36*Assumptions!$B$17</f>
        <v>-60000</v>
      </c>
      <c r="I36" s="33" t="n">
        <f aca="false">F36+G36+H36</f>
        <v>150000</v>
      </c>
      <c r="J36" s="35" t="n">
        <f aca="false">-Costs!D$16</f>
        <v>-6870.72</v>
      </c>
      <c r="K36" s="35" t="n">
        <f aca="false">-Costs!D$18</f>
        <v>-80000</v>
      </c>
      <c r="L36" s="20" t="n">
        <f aca="false">I36+J36+K36</f>
        <v>63129.2800000001</v>
      </c>
      <c r="M36" s="33" t="n">
        <f aca="false">IF(L36&gt;0,L36*Assumptions!$B$23,L36)</f>
        <v>31564.64</v>
      </c>
      <c r="N36" s="33" t="n">
        <f aca="false">IF(L36&gt;0,L36*(1-Assumptions!$B$23),0)</f>
        <v>31564.64</v>
      </c>
      <c r="O36" s="15" t="n">
        <f aca="false">IFERROR(MAX(M36,0)/Assumptions!$B$24,0)</f>
        <v>631.292800000001</v>
      </c>
    </row>
    <row r="37" customFormat="false" ht="15" hidden="false" customHeight="true" outlineLevel="0" collapsed="false">
      <c r="A37" s="24" t="s">
        <v>113</v>
      </c>
      <c r="B37" s="25" t="n">
        <f aca="false">Assumptions!$B$11</f>
        <v>500</v>
      </c>
      <c r="C37" s="26" t="n">
        <f aca="false">Assumptions!$B$35</f>
        <v>1000</v>
      </c>
      <c r="D37" s="27" t="n">
        <f aca="false">B37*C37*12</f>
        <v>6000000</v>
      </c>
      <c r="E37" s="28" t="n">
        <f aca="false">Assumptions!$B$29</f>
        <v>0.08</v>
      </c>
      <c r="F37" s="27" t="n">
        <f aca="false">D37*E37</f>
        <v>480000</v>
      </c>
      <c r="G37" s="27" t="n">
        <f aca="false">-(D37*Assumptions!$B$14+IFERROR(D37/Assumptions!$B$13,0)*Assumptions!$B$15)</f>
        <v>-210000</v>
      </c>
      <c r="H37" s="27" t="n">
        <f aca="false">-D37*Assumptions!$B$17</f>
        <v>-60000</v>
      </c>
      <c r="I37" s="27" t="n">
        <f aca="false">F37+G37+H37</f>
        <v>210000</v>
      </c>
      <c r="J37" s="29" t="n">
        <f aca="false">-Costs!D$16</f>
        <v>-6870.72</v>
      </c>
      <c r="K37" s="29" t="n">
        <f aca="false">-Costs!D$18</f>
        <v>-80000</v>
      </c>
      <c r="L37" s="30" t="n">
        <f aca="false">I37+J37+K37</f>
        <v>123129.28</v>
      </c>
      <c r="M37" s="27" t="n">
        <f aca="false">IF(L37&gt;0,L37*Assumptions!$B$23,L37)</f>
        <v>61564.64</v>
      </c>
      <c r="N37" s="27" t="n">
        <f aca="false">IF(L37&gt;0,L37*(1-Assumptions!$B$23),0)</f>
        <v>61564.64</v>
      </c>
      <c r="O37" s="31" t="n">
        <f aca="false">IFERROR(MAX(M37,0)/Assumptions!$B$24,0)</f>
        <v>1231.2928</v>
      </c>
    </row>
    <row r="38" customFormat="false" ht="15" hidden="false" customHeight="true" outlineLevel="0" collapsed="false">
      <c r="A38" s="6" t="s">
        <v>113</v>
      </c>
      <c r="B38" s="32" t="n">
        <f aca="false">Assumptions!$B$11</f>
        <v>500</v>
      </c>
      <c r="C38" s="21" t="n">
        <f aca="false">Assumptions!$B$35</f>
        <v>1000</v>
      </c>
      <c r="D38" s="33" t="n">
        <f aca="false">B38*C38*12</f>
        <v>6000000</v>
      </c>
      <c r="E38" s="34" t="n">
        <f aca="false">Assumptions!$B$30</f>
        <v>0.09</v>
      </c>
      <c r="F38" s="33" t="n">
        <f aca="false">D38*E38</f>
        <v>540000</v>
      </c>
      <c r="G38" s="33" t="n">
        <f aca="false">-(D38*Assumptions!$B$14+IFERROR(D38/Assumptions!$B$13,0)*Assumptions!$B$15)</f>
        <v>-210000</v>
      </c>
      <c r="H38" s="33" t="n">
        <f aca="false">-D38*Assumptions!$B$17</f>
        <v>-60000</v>
      </c>
      <c r="I38" s="33" t="n">
        <f aca="false">F38+G38+H38</f>
        <v>270000</v>
      </c>
      <c r="J38" s="35" t="n">
        <f aca="false">-Costs!D$16</f>
        <v>-6870.72</v>
      </c>
      <c r="K38" s="35" t="n">
        <f aca="false">-Costs!D$18</f>
        <v>-80000</v>
      </c>
      <c r="L38" s="20" t="n">
        <f aca="false">I38+J38+K38</f>
        <v>183129.28</v>
      </c>
      <c r="M38" s="33" t="n">
        <f aca="false">IF(L38&gt;0,L38*Assumptions!$B$23,L38)</f>
        <v>91564.64</v>
      </c>
      <c r="N38" s="33" t="n">
        <f aca="false">IF(L38&gt;0,L38*(1-Assumptions!$B$23),0)</f>
        <v>91564.64</v>
      </c>
      <c r="O38" s="15" t="n">
        <f aca="false">IFERROR(MAX(M38,0)/Assumptions!$B$24,0)</f>
        <v>1831.2928</v>
      </c>
    </row>
    <row r="39" customFormat="false" ht="15" hidden="false" customHeight="true" outlineLevel="0" collapsed="false">
      <c r="A39" s="24" t="s">
        <v>113</v>
      </c>
      <c r="B39" s="25" t="n">
        <f aca="false">Assumptions!$B$11</f>
        <v>500</v>
      </c>
      <c r="C39" s="26" t="n">
        <f aca="false">Assumptions!$B$36</f>
        <v>10000</v>
      </c>
      <c r="D39" s="27" t="n">
        <f aca="false">B39*C39*12</f>
        <v>60000000</v>
      </c>
      <c r="E39" s="28" t="n">
        <f aca="false">Assumptions!$B$27</f>
        <v>0.06</v>
      </c>
      <c r="F39" s="27" t="n">
        <f aca="false">D39*E39</f>
        <v>3600000</v>
      </c>
      <c r="G39" s="27" t="n">
        <f aca="false">-(D39*Assumptions!$B$14+IFERROR(D39/Assumptions!$B$13,0)*Assumptions!$B$15)</f>
        <v>-2100000</v>
      </c>
      <c r="H39" s="27" t="n">
        <f aca="false">-D39*Assumptions!$B$17</f>
        <v>-600000</v>
      </c>
      <c r="I39" s="27" t="n">
        <f aca="false">F39+G39+H39</f>
        <v>900000</v>
      </c>
      <c r="J39" s="29" t="n">
        <f aca="false">-Costs!E$16</f>
        <v>-11670.72</v>
      </c>
      <c r="K39" s="29" t="n">
        <f aca="false">-Costs!E$18</f>
        <v>-240000</v>
      </c>
      <c r="L39" s="30" t="n">
        <f aca="false">I39+J39+K39</f>
        <v>648329.28</v>
      </c>
      <c r="M39" s="27" t="n">
        <f aca="false">IF(L39&gt;0,L39*Assumptions!$B$23,L39)</f>
        <v>324164.64</v>
      </c>
      <c r="N39" s="27" t="n">
        <f aca="false">IF(L39&gt;0,L39*(1-Assumptions!$B$23),0)</f>
        <v>324164.64</v>
      </c>
      <c r="O39" s="31" t="n">
        <f aca="false">IFERROR(MAX(M39,0)/Assumptions!$B$24,0)</f>
        <v>6483.2928</v>
      </c>
    </row>
    <row r="40" customFormat="false" ht="15" hidden="false" customHeight="true" outlineLevel="0" collapsed="false">
      <c r="A40" s="6" t="s">
        <v>113</v>
      </c>
      <c r="B40" s="32" t="n">
        <f aca="false">Assumptions!$B$11</f>
        <v>500</v>
      </c>
      <c r="C40" s="21" t="n">
        <f aca="false">Assumptions!$B$36</f>
        <v>10000</v>
      </c>
      <c r="D40" s="33" t="n">
        <f aca="false">B40*C40*12</f>
        <v>60000000</v>
      </c>
      <c r="E40" s="34" t="n">
        <f aca="false">Assumptions!$B$28</f>
        <v>0.07</v>
      </c>
      <c r="F40" s="33" t="n">
        <f aca="false">D40*E40</f>
        <v>4200000</v>
      </c>
      <c r="G40" s="33" t="n">
        <f aca="false">-(D40*Assumptions!$B$14+IFERROR(D40/Assumptions!$B$13,0)*Assumptions!$B$15)</f>
        <v>-2100000</v>
      </c>
      <c r="H40" s="33" t="n">
        <f aca="false">-D40*Assumptions!$B$17</f>
        <v>-600000</v>
      </c>
      <c r="I40" s="33" t="n">
        <f aca="false">F40+G40+H40</f>
        <v>1500000</v>
      </c>
      <c r="J40" s="35" t="n">
        <f aca="false">-Costs!E$16</f>
        <v>-11670.72</v>
      </c>
      <c r="K40" s="35" t="n">
        <f aca="false">-Costs!E$18</f>
        <v>-240000</v>
      </c>
      <c r="L40" s="20" t="n">
        <f aca="false">I40+J40+K40</f>
        <v>1248329.28</v>
      </c>
      <c r="M40" s="33" t="n">
        <f aca="false">IF(L40&gt;0,L40*Assumptions!$B$23,L40)</f>
        <v>624164.64</v>
      </c>
      <c r="N40" s="33" t="n">
        <f aca="false">IF(L40&gt;0,L40*(1-Assumptions!$B$23),0)</f>
        <v>624164.64</v>
      </c>
      <c r="O40" s="15" t="n">
        <f aca="false">IFERROR(MAX(M40,0)/Assumptions!$B$24,0)</f>
        <v>12483.2928</v>
      </c>
    </row>
    <row r="41" customFormat="false" ht="15" hidden="false" customHeight="true" outlineLevel="0" collapsed="false">
      <c r="A41" s="24" t="s">
        <v>113</v>
      </c>
      <c r="B41" s="25" t="n">
        <f aca="false">Assumptions!$B$11</f>
        <v>500</v>
      </c>
      <c r="C41" s="26" t="n">
        <f aca="false">Assumptions!$B$36</f>
        <v>10000</v>
      </c>
      <c r="D41" s="27" t="n">
        <f aca="false">B41*C41*12</f>
        <v>60000000</v>
      </c>
      <c r="E41" s="28" t="n">
        <f aca="false">Assumptions!$B$29</f>
        <v>0.08</v>
      </c>
      <c r="F41" s="27" t="n">
        <f aca="false">D41*E41</f>
        <v>4800000</v>
      </c>
      <c r="G41" s="27" t="n">
        <f aca="false">-(D41*Assumptions!$B$14+IFERROR(D41/Assumptions!$B$13,0)*Assumptions!$B$15)</f>
        <v>-2100000</v>
      </c>
      <c r="H41" s="27" t="n">
        <f aca="false">-D41*Assumptions!$B$17</f>
        <v>-600000</v>
      </c>
      <c r="I41" s="27" t="n">
        <f aca="false">F41+G41+H41</f>
        <v>2100000</v>
      </c>
      <c r="J41" s="29" t="n">
        <f aca="false">-Costs!E$16</f>
        <v>-11670.72</v>
      </c>
      <c r="K41" s="29" t="n">
        <f aca="false">-Costs!E$18</f>
        <v>-240000</v>
      </c>
      <c r="L41" s="30" t="n">
        <f aca="false">I41+J41+K41</f>
        <v>1848329.28</v>
      </c>
      <c r="M41" s="27" t="n">
        <f aca="false">IF(L41&gt;0,L41*Assumptions!$B$23,L41)</f>
        <v>924164.64</v>
      </c>
      <c r="N41" s="27" t="n">
        <f aca="false">IF(L41&gt;0,L41*(1-Assumptions!$B$23),0)</f>
        <v>924164.64</v>
      </c>
      <c r="O41" s="31" t="n">
        <f aca="false">IFERROR(MAX(M41,0)/Assumptions!$B$24,0)</f>
        <v>18483.2928</v>
      </c>
    </row>
    <row r="42" customFormat="false" ht="15" hidden="false" customHeight="true" outlineLevel="0" collapsed="false">
      <c r="A42" s="6" t="s">
        <v>113</v>
      </c>
      <c r="B42" s="32" t="n">
        <f aca="false">Assumptions!$B$11</f>
        <v>500</v>
      </c>
      <c r="C42" s="21" t="n">
        <f aca="false">Assumptions!$B$36</f>
        <v>10000</v>
      </c>
      <c r="D42" s="33" t="n">
        <f aca="false">B42*C42*12</f>
        <v>60000000</v>
      </c>
      <c r="E42" s="34" t="n">
        <f aca="false">Assumptions!$B$30</f>
        <v>0.09</v>
      </c>
      <c r="F42" s="33" t="n">
        <f aca="false">D42*E42</f>
        <v>5400000</v>
      </c>
      <c r="G42" s="33" t="n">
        <f aca="false">-(D42*Assumptions!$B$14+IFERROR(D42/Assumptions!$B$13,0)*Assumptions!$B$15)</f>
        <v>-2100000</v>
      </c>
      <c r="H42" s="33" t="n">
        <f aca="false">-D42*Assumptions!$B$17</f>
        <v>-600000</v>
      </c>
      <c r="I42" s="33" t="n">
        <f aca="false">F42+G42+H42</f>
        <v>2700000</v>
      </c>
      <c r="J42" s="35" t="n">
        <f aca="false">-Costs!E$16</f>
        <v>-11670.72</v>
      </c>
      <c r="K42" s="35" t="n">
        <f aca="false">-Costs!E$18</f>
        <v>-240000</v>
      </c>
      <c r="L42" s="20" t="n">
        <f aca="false">I42+J42+K42</f>
        <v>2448329.28</v>
      </c>
      <c r="M42" s="33" t="n">
        <f aca="false">IF(L42&gt;0,L42*Assumptions!$B$23,L42)</f>
        <v>1224164.64</v>
      </c>
      <c r="N42" s="33" t="n">
        <f aca="false">IF(L42&gt;0,L42*(1-Assumptions!$B$23),0)</f>
        <v>1224164.64</v>
      </c>
      <c r="O42" s="15" t="n">
        <f aca="false">IFERROR(MAX(M42,0)/Assumptions!$B$24,0)</f>
        <v>24483.2928</v>
      </c>
    </row>
    <row r="45" customFormat="false" ht="15" hidden="false" customHeight="true" outlineLevel="0" collapsed="false">
      <c r="A45" s="16" t="s">
        <v>114</v>
      </c>
    </row>
    <row r="46" customFormat="false" ht="30" hidden="false" customHeight="true" outlineLevel="0" collapsed="false">
      <c r="A46" s="23" t="s">
        <v>98</v>
      </c>
      <c r="B46" s="23" t="s">
        <v>99</v>
      </c>
      <c r="C46" s="23" t="s">
        <v>48</v>
      </c>
      <c r="D46" s="23" t="s">
        <v>100</v>
      </c>
      <c r="E46" s="23" t="s">
        <v>40</v>
      </c>
      <c r="F46" s="23" t="s">
        <v>101</v>
      </c>
      <c r="G46" s="23" t="s">
        <v>102</v>
      </c>
      <c r="H46" s="23" t="s">
        <v>103</v>
      </c>
      <c r="I46" s="23" t="s">
        <v>104</v>
      </c>
      <c r="J46" s="23" t="s">
        <v>105</v>
      </c>
      <c r="K46" s="23" t="s">
        <v>106</v>
      </c>
      <c r="L46" s="23" t="s">
        <v>107</v>
      </c>
      <c r="M46" s="23" t="s">
        <v>108</v>
      </c>
      <c r="N46" s="23" t="s">
        <v>109</v>
      </c>
      <c r="O46" s="23" t="s">
        <v>110</v>
      </c>
    </row>
    <row r="47" customFormat="false" ht="15" hidden="false" customHeight="true" outlineLevel="0" collapsed="false">
      <c r="A47" s="24" t="s">
        <v>115</v>
      </c>
      <c r="B47" s="25" t="n">
        <f aca="false">Assumptions!$B$12</f>
        <v>2000</v>
      </c>
      <c r="C47" s="26" t="n">
        <f aca="false">Assumptions!$B$33</f>
        <v>10</v>
      </c>
      <c r="D47" s="27" t="n">
        <f aca="false">B47*C47*12</f>
        <v>240000</v>
      </c>
      <c r="E47" s="28" t="n">
        <f aca="false">Assumptions!$B$27</f>
        <v>0.06</v>
      </c>
      <c r="F47" s="27" t="n">
        <f aca="false">D47*E47</f>
        <v>14400</v>
      </c>
      <c r="G47" s="27" t="n">
        <f aca="false">-(D47*Assumptions!$B$14+IFERROR(D47/Assumptions!$B$13,0)*Assumptions!$B$15)</f>
        <v>-8400</v>
      </c>
      <c r="H47" s="27" t="n">
        <f aca="false">-D47*Assumptions!$B$17</f>
        <v>-2400</v>
      </c>
      <c r="I47" s="27" t="n">
        <f aca="false">F47+G47+H47</f>
        <v>3600</v>
      </c>
      <c r="J47" s="29" t="n">
        <f aca="false">-Costs!B$16</f>
        <v>-3138.72</v>
      </c>
      <c r="K47" s="29" t="n">
        <f aca="false">-Costs!B$18</f>
        <v>-0</v>
      </c>
      <c r="L47" s="30" t="n">
        <f aca="false">I47+J47+K47</f>
        <v>461.28</v>
      </c>
      <c r="M47" s="27" t="n">
        <f aca="false">IF(L47&gt;0,L47*Assumptions!$B$23,L47)</f>
        <v>230.64</v>
      </c>
      <c r="N47" s="27" t="n">
        <f aca="false">IF(L47&gt;0,L47*(1-Assumptions!$B$23),0)</f>
        <v>230.64</v>
      </c>
      <c r="O47" s="31" t="n">
        <f aca="false">IFERROR(MAX(M47,0)/Assumptions!$B$24,0)</f>
        <v>4.6128</v>
      </c>
    </row>
    <row r="48" customFormat="false" ht="15" hidden="false" customHeight="true" outlineLevel="0" collapsed="false">
      <c r="A48" s="6" t="s">
        <v>115</v>
      </c>
      <c r="B48" s="32" t="n">
        <f aca="false">Assumptions!$B$12</f>
        <v>2000</v>
      </c>
      <c r="C48" s="21" t="n">
        <f aca="false">Assumptions!$B$33</f>
        <v>10</v>
      </c>
      <c r="D48" s="33" t="n">
        <f aca="false">B48*C48*12</f>
        <v>240000</v>
      </c>
      <c r="E48" s="34" t="n">
        <f aca="false">Assumptions!$B$28</f>
        <v>0.07</v>
      </c>
      <c r="F48" s="33" t="n">
        <f aca="false">D48*E48</f>
        <v>16800</v>
      </c>
      <c r="G48" s="33" t="n">
        <f aca="false">-(D48*Assumptions!$B$14+IFERROR(D48/Assumptions!$B$13,0)*Assumptions!$B$15)</f>
        <v>-8400</v>
      </c>
      <c r="H48" s="33" t="n">
        <f aca="false">-D48*Assumptions!$B$17</f>
        <v>-2400</v>
      </c>
      <c r="I48" s="33" t="n">
        <f aca="false">F48+G48+H48</f>
        <v>6000</v>
      </c>
      <c r="J48" s="35" t="n">
        <f aca="false">-Costs!B$16</f>
        <v>-3138.72</v>
      </c>
      <c r="K48" s="35" t="n">
        <f aca="false">-Costs!B$18</f>
        <v>-0</v>
      </c>
      <c r="L48" s="20" t="n">
        <f aca="false">I48+J48+K48</f>
        <v>2861.28</v>
      </c>
      <c r="M48" s="33" t="n">
        <f aca="false">IF(L48&gt;0,L48*Assumptions!$B$23,L48)</f>
        <v>1430.64</v>
      </c>
      <c r="N48" s="33" t="n">
        <f aca="false">IF(L48&gt;0,L48*(1-Assumptions!$B$23),0)</f>
        <v>1430.64</v>
      </c>
      <c r="O48" s="15" t="n">
        <f aca="false">IFERROR(MAX(M48,0)/Assumptions!$B$24,0)</f>
        <v>28.6128</v>
      </c>
    </row>
    <row r="49" customFormat="false" ht="15" hidden="false" customHeight="true" outlineLevel="0" collapsed="false">
      <c r="A49" s="24" t="s">
        <v>115</v>
      </c>
      <c r="B49" s="25" t="n">
        <f aca="false">Assumptions!$B$12</f>
        <v>2000</v>
      </c>
      <c r="C49" s="26" t="n">
        <f aca="false">Assumptions!$B$33</f>
        <v>10</v>
      </c>
      <c r="D49" s="27" t="n">
        <f aca="false">B49*C49*12</f>
        <v>240000</v>
      </c>
      <c r="E49" s="28" t="n">
        <f aca="false">Assumptions!$B$29</f>
        <v>0.08</v>
      </c>
      <c r="F49" s="27" t="n">
        <f aca="false">D49*E49</f>
        <v>19200</v>
      </c>
      <c r="G49" s="27" t="n">
        <f aca="false">-(D49*Assumptions!$B$14+IFERROR(D49/Assumptions!$B$13,0)*Assumptions!$B$15)</f>
        <v>-8400</v>
      </c>
      <c r="H49" s="27" t="n">
        <f aca="false">-D49*Assumptions!$B$17</f>
        <v>-2400</v>
      </c>
      <c r="I49" s="27" t="n">
        <f aca="false">F49+G49+H49</f>
        <v>8400</v>
      </c>
      <c r="J49" s="29" t="n">
        <f aca="false">-Costs!B$16</f>
        <v>-3138.72</v>
      </c>
      <c r="K49" s="29" t="n">
        <f aca="false">-Costs!B$18</f>
        <v>-0</v>
      </c>
      <c r="L49" s="30" t="n">
        <f aca="false">I49+J49+K49</f>
        <v>5261.28</v>
      </c>
      <c r="M49" s="27" t="n">
        <f aca="false">IF(L49&gt;0,L49*Assumptions!$B$23,L49)</f>
        <v>2630.64</v>
      </c>
      <c r="N49" s="27" t="n">
        <f aca="false">IF(L49&gt;0,L49*(1-Assumptions!$B$23),0)</f>
        <v>2630.64</v>
      </c>
      <c r="O49" s="31" t="n">
        <f aca="false">IFERROR(MAX(M49,0)/Assumptions!$B$24,0)</f>
        <v>52.6128</v>
      </c>
    </row>
    <row r="50" customFormat="false" ht="15" hidden="false" customHeight="true" outlineLevel="0" collapsed="false">
      <c r="A50" s="6" t="s">
        <v>115</v>
      </c>
      <c r="B50" s="32" t="n">
        <f aca="false">Assumptions!$B$12</f>
        <v>2000</v>
      </c>
      <c r="C50" s="21" t="n">
        <f aca="false">Assumptions!$B$33</f>
        <v>10</v>
      </c>
      <c r="D50" s="33" t="n">
        <f aca="false">B50*C50*12</f>
        <v>240000</v>
      </c>
      <c r="E50" s="34" t="n">
        <f aca="false">Assumptions!$B$30</f>
        <v>0.09</v>
      </c>
      <c r="F50" s="33" t="n">
        <f aca="false">D50*E50</f>
        <v>21600</v>
      </c>
      <c r="G50" s="33" t="n">
        <f aca="false">-(D50*Assumptions!$B$14+IFERROR(D50/Assumptions!$B$13,0)*Assumptions!$B$15)</f>
        <v>-8400</v>
      </c>
      <c r="H50" s="33" t="n">
        <f aca="false">-D50*Assumptions!$B$17</f>
        <v>-2400</v>
      </c>
      <c r="I50" s="33" t="n">
        <f aca="false">F50+G50+H50</f>
        <v>10800</v>
      </c>
      <c r="J50" s="35" t="n">
        <f aca="false">-Costs!B$16</f>
        <v>-3138.72</v>
      </c>
      <c r="K50" s="35" t="n">
        <f aca="false">-Costs!B$18</f>
        <v>-0</v>
      </c>
      <c r="L50" s="20" t="n">
        <f aca="false">I50+J50+K50</f>
        <v>7661.28</v>
      </c>
      <c r="M50" s="33" t="n">
        <f aca="false">IF(L50&gt;0,L50*Assumptions!$B$23,L50)</f>
        <v>3830.64</v>
      </c>
      <c r="N50" s="33" t="n">
        <f aca="false">IF(L50&gt;0,L50*(1-Assumptions!$B$23),0)</f>
        <v>3830.64</v>
      </c>
      <c r="O50" s="15" t="n">
        <f aca="false">IFERROR(MAX(M50,0)/Assumptions!$B$24,0)</f>
        <v>76.6128</v>
      </c>
    </row>
    <row r="51" customFormat="false" ht="15" hidden="false" customHeight="true" outlineLevel="0" collapsed="false">
      <c r="A51" s="24" t="s">
        <v>115</v>
      </c>
      <c r="B51" s="25" t="n">
        <f aca="false">Assumptions!$B$12</f>
        <v>2000</v>
      </c>
      <c r="C51" s="26" t="n">
        <f aca="false">Assumptions!$B$34</f>
        <v>100</v>
      </c>
      <c r="D51" s="27" t="n">
        <f aca="false">B51*C51*12</f>
        <v>2400000</v>
      </c>
      <c r="E51" s="28" t="n">
        <f aca="false">Assumptions!$B$27</f>
        <v>0.06</v>
      </c>
      <c r="F51" s="27" t="n">
        <f aca="false">D51*E51</f>
        <v>144000</v>
      </c>
      <c r="G51" s="27" t="n">
        <f aca="false">-(D51*Assumptions!$B$14+IFERROR(D51/Assumptions!$B$13,0)*Assumptions!$B$15)</f>
        <v>-84000</v>
      </c>
      <c r="H51" s="27" t="n">
        <f aca="false">-D51*Assumptions!$B$17</f>
        <v>-24000</v>
      </c>
      <c r="I51" s="27" t="n">
        <f aca="false">F51+G51+H51</f>
        <v>36000</v>
      </c>
      <c r="J51" s="29" t="n">
        <f aca="false">-Costs!C$16</f>
        <v>-3138.72</v>
      </c>
      <c r="K51" s="29" t="n">
        <f aca="false">-Costs!C$18</f>
        <v>-0</v>
      </c>
      <c r="L51" s="30" t="n">
        <f aca="false">I51+J51+K51</f>
        <v>32861.28</v>
      </c>
      <c r="M51" s="27" t="n">
        <f aca="false">IF(L51&gt;0,L51*Assumptions!$B$23,L51)</f>
        <v>16430.64</v>
      </c>
      <c r="N51" s="27" t="n">
        <f aca="false">IF(L51&gt;0,L51*(1-Assumptions!$B$23),0)</f>
        <v>16430.64</v>
      </c>
      <c r="O51" s="31" t="n">
        <f aca="false">IFERROR(MAX(M51,0)/Assumptions!$B$24,0)</f>
        <v>328.6128</v>
      </c>
    </row>
    <row r="52" customFormat="false" ht="15" hidden="false" customHeight="true" outlineLevel="0" collapsed="false">
      <c r="A52" s="6" t="s">
        <v>115</v>
      </c>
      <c r="B52" s="32" t="n">
        <f aca="false">Assumptions!$B$12</f>
        <v>2000</v>
      </c>
      <c r="C52" s="21" t="n">
        <f aca="false">Assumptions!$B$34</f>
        <v>100</v>
      </c>
      <c r="D52" s="33" t="n">
        <f aca="false">B52*C52*12</f>
        <v>2400000</v>
      </c>
      <c r="E52" s="34" t="n">
        <f aca="false">Assumptions!$B$28</f>
        <v>0.07</v>
      </c>
      <c r="F52" s="33" t="n">
        <f aca="false">D52*E52</f>
        <v>168000</v>
      </c>
      <c r="G52" s="33" t="n">
        <f aca="false">-(D52*Assumptions!$B$14+IFERROR(D52/Assumptions!$B$13,0)*Assumptions!$B$15)</f>
        <v>-84000</v>
      </c>
      <c r="H52" s="33" t="n">
        <f aca="false">-D52*Assumptions!$B$17</f>
        <v>-24000</v>
      </c>
      <c r="I52" s="33" t="n">
        <f aca="false">F52+G52+H52</f>
        <v>60000</v>
      </c>
      <c r="J52" s="35" t="n">
        <f aca="false">-Costs!C$16</f>
        <v>-3138.72</v>
      </c>
      <c r="K52" s="35" t="n">
        <f aca="false">-Costs!C$18</f>
        <v>-0</v>
      </c>
      <c r="L52" s="20" t="n">
        <f aca="false">I52+J52+K52</f>
        <v>56861.28</v>
      </c>
      <c r="M52" s="33" t="n">
        <f aca="false">IF(L52&gt;0,L52*Assumptions!$B$23,L52)</f>
        <v>28430.64</v>
      </c>
      <c r="N52" s="33" t="n">
        <f aca="false">IF(L52&gt;0,L52*(1-Assumptions!$B$23),0)</f>
        <v>28430.64</v>
      </c>
      <c r="O52" s="15" t="n">
        <f aca="false">IFERROR(MAX(M52,0)/Assumptions!$B$24,0)</f>
        <v>568.6128</v>
      </c>
    </row>
    <row r="53" customFormat="false" ht="15" hidden="false" customHeight="true" outlineLevel="0" collapsed="false">
      <c r="A53" s="24" t="s">
        <v>115</v>
      </c>
      <c r="B53" s="25" t="n">
        <f aca="false">Assumptions!$B$12</f>
        <v>2000</v>
      </c>
      <c r="C53" s="26" t="n">
        <f aca="false">Assumptions!$B$34</f>
        <v>100</v>
      </c>
      <c r="D53" s="27" t="n">
        <f aca="false">B53*C53*12</f>
        <v>2400000</v>
      </c>
      <c r="E53" s="28" t="n">
        <f aca="false">Assumptions!$B$29</f>
        <v>0.08</v>
      </c>
      <c r="F53" s="27" t="n">
        <f aca="false">D53*E53</f>
        <v>192000</v>
      </c>
      <c r="G53" s="27" t="n">
        <f aca="false">-(D53*Assumptions!$B$14+IFERROR(D53/Assumptions!$B$13,0)*Assumptions!$B$15)</f>
        <v>-84000</v>
      </c>
      <c r="H53" s="27" t="n">
        <f aca="false">-D53*Assumptions!$B$17</f>
        <v>-24000</v>
      </c>
      <c r="I53" s="27" t="n">
        <f aca="false">F53+G53+H53</f>
        <v>84000</v>
      </c>
      <c r="J53" s="29" t="n">
        <f aca="false">-Costs!C$16</f>
        <v>-3138.72</v>
      </c>
      <c r="K53" s="29" t="n">
        <f aca="false">-Costs!C$18</f>
        <v>-0</v>
      </c>
      <c r="L53" s="30" t="n">
        <f aca="false">I53+J53+K53</f>
        <v>80861.28</v>
      </c>
      <c r="M53" s="27" t="n">
        <f aca="false">IF(L53&gt;0,L53*Assumptions!$B$23,L53)</f>
        <v>40430.64</v>
      </c>
      <c r="N53" s="27" t="n">
        <f aca="false">IF(L53&gt;0,L53*(1-Assumptions!$B$23),0)</f>
        <v>40430.64</v>
      </c>
      <c r="O53" s="31" t="n">
        <f aca="false">IFERROR(MAX(M53,0)/Assumptions!$B$24,0)</f>
        <v>808.6128</v>
      </c>
    </row>
    <row r="54" customFormat="false" ht="15" hidden="false" customHeight="true" outlineLevel="0" collapsed="false">
      <c r="A54" s="6" t="s">
        <v>115</v>
      </c>
      <c r="B54" s="32" t="n">
        <f aca="false">Assumptions!$B$12</f>
        <v>2000</v>
      </c>
      <c r="C54" s="21" t="n">
        <f aca="false">Assumptions!$B$34</f>
        <v>100</v>
      </c>
      <c r="D54" s="33" t="n">
        <f aca="false">B54*C54*12</f>
        <v>2400000</v>
      </c>
      <c r="E54" s="34" t="n">
        <f aca="false">Assumptions!$B$30</f>
        <v>0.09</v>
      </c>
      <c r="F54" s="33" t="n">
        <f aca="false">D54*E54</f>
        <v>216000</v>
      </c>
      <c r="G54" s="33" t="n">
        <f aca="false">-(D54*Assumptions!$B$14+IFERROR(D54/Assumptions!$B$13,0)*Assumptions!$B$15)</f>
        <v>-84000</v>
      </c>
      <c r="H54" s="33" t="n">
        <f aca="false">-D54*Assumptions!$B$17</f>
        <v>-24000</v>
      </c>
      <c r="I54" s="33" t="n">
        <f aca="false">F54+G54+H54</f>
        <v>108000</v>
      </c>
      <c r="J54" s="35" t="n">
        <f aca="false">-Costs!C$16</f>
        <v>-3138.72</v>
      </c>
      <c r="K54" s="35" t="n">
        <f aca="false">-Costs!C$18</f>
        <v>-0</v>
      </c>
      <c r="L54" s="20" t="n">
        <f aca="false">I54+J54+K54</f>
        <v>104861.28</v>
      </c>
      <c r="M54" s="33" t="n">
        <f aca="false">IF(L54&gt;0,L54*Assumptions!$B$23,L54)</f>
        <v>52430.64</v>
      </c>
      <c r="N54" s="33" t="n">
        <f aca="false">IF(L54&gt;0,L54*(1-Assumptions!$B$23),0)</f>
        <v>52430.64</v>
      </c>
      <c r="O54" s="15" t="n">
        <f aca="false">IFERROR(MAX(M54,0)/Assumptions!$B$24,0)</f>
        <v>1048.6128</v>
      </c>
    </row>
    <row r="55" customFormat="false" ht="15" hidden="false" customHeight="true" outlineLevel="0" collapsed="false">
      <c r="A55" s="24" t="s">
        <v>115</v>
      </c>
      <c r="B55" s="25" t="n">
        <f aca="false">Assumptions!$B$12</f>
        <v>2000</v>
      </c>
      <c r="C55" s="26" t="n">
        <f aca="false">Assumptions!$B$35</f>
        <v>1000</v>
      </c>
      <c r="D55" s="27" t="n">
        <f aca="false">B55*C55*12</f>
        <v>24000000</v>
      </c>
      <c r="E55" s="28" t="n">
        <f aca="false">Assumptions!$B$27</f>
        <v>0.06</v>
      </c>
      <c r="F55" s="27" t="n">
        <f aca="false">D55*E55</f>
        <v>1440000</v>
      </c>
      <c r="G55" s="27" t="n">
        <f aca="false">-(D55*Assumptions!$B$14+IFERROR(D55/Assumptions!$B$13,0)*Assumptions!$B$15)</f>
        <v>-840000</v>
      </c>
      <c r="H55" s="27" t="n">
        <f aca="false">-D55*Assumptions!$B$17</f>
        <v>-240000</v>
      </c>
      <c r="I55" s="27" t="n">
        <f aca="false">F55+G55+H55</f>
        <v>360000</v>
      </c>
      <c r="J55" s="29" t="n">
        <f aca="false">-Costs!D$16</f>
        <v>-6870.72</v>
      </c>
      <c r="K55" s="29" t="n">
        <f aca="false">-Costs!D$18</f>
        <v>-80000</v>
      </c>
      <c r="L55" s="30" t="n">
        <f aca="false">I55+J55+K55</f>
        <v>273129.28</v>
      </c>
      <c r="M55" s="27" t="n">
        <f aca="false">IF(L55&gt;0,L55*Assumptions!$B$23,L55)</f>
        <v>136564.64</v>
      </c>
      <c r="N55" s="27" t="n">
        <f aca="false">IF(L55&gt;0,L55*(1-Assumptions!$B$23),0)</f>
        <v>136564.64</v>
      </c>
      <c r="O55" s="31" t="n">
        <f aca="false">IFERROR(MAX(M55,0)/Assumptions!$B$24,0)</f>
        <v>2731.2928</v>
      </c>
    </row>
    <row r="56" customFormat="false" ht="15" hidden="false" customHeight="true" outlineLevel="0" collapsed="false">
      <c r="A56" s="6" t="s">
        <v>115</v>
      </c>
      <c r="B56" s="32" t="n">
        <f aca="false">Assumptions!$B$12</f>
        <v>2000</v>
      </c>
      <c r="C56" s="21" t="n">
        <f aca="false">Assumptions!$B$35</f>
        <v>1000</v>
      </c>
      <c r="D56" s="33" t="n">
        <f aca="false">B56*C56*12</f>
        <v>24000000</v>
      </c>
      <c r="E56" s="34" t="n">
        <f aca="false">Assumptions!$B$28</f>
        <v>0.07</v>
      </c>
      <c r="F56" s="33" t="n">
        <f aca="false">D56*E56</f>
        <v>1680000</v>
      </c>
      <c r="G56" s="33" t="n">
        <f aca="false">-(D56*Assumptions!$B$14+IFERROR(D56/Assumptions!$B$13,0)*Assumptions!$B$15)</f>
        <v>-840000</v>
      </c>
      <c r="H56" s="33" t="n">
        <f aca="false">-D56*Assumptions!$B$17</f>
        <v>-240000</v>
      </c>
      <c r="I56" s="33" t="n">
        <f aca="false">F56+G56+H56</f>
        <v>600000</v>
      </c>
      <c r="J56" s="35" t="n">
        <f aca="false">-Costs!D$16</f>
        <v>-6870.72</v>
      </c>
      <c r="K56" s="35" t="n">
        <f aca="false">-Costs!D$18</f>
        <v>-80000</v>
      </c>
      <c r="L56" s="20" t="n">
        <f aca="false">I56+J56+K56</f>
        <v>513129.28</v>
      </c>
      <c r="M56" s="33" t="n">
        <f aca="false">IF(L56&gt;0,L56*Assumptions!$B$23,L56)</f>
        <v>256564.64</v>
      </c>
      <c r="N56" s="33" t="n">
        <f aca="false">IF(L56&gt;0,L56*(1-Assumptions!$B$23),0)</f>
        <v>256564.64</v>
      </c>
      <c r="O56" s="15" t="n">
        <f aca="false">IFERROR(MAX(M56,0)/Assumptions!$B$24,0)</f>
        <v>5131.2928</v>
      </c>
    </row>
    <row r="57" customFormat="false" ht="15" hidden="false" customHeight="true" outlineLevel="0" collapsed="false">
      <c r="A57" s="24" t="s">
        <v>115</v>
      </c>
      <c r="B57" s="25" t="n">
        <f aca="false">Assumptions!$B$12</f>
        <v>2000</v>
      </c>
      <c r="C57" s="26" t="n">
        <f aca="false">Assumptions!$B$35</f>
        <v>1000</v>
      </c>
      <c r="D57" s="27" t="n">
        <f aca="false">B57*C57*12</f>
        <v>24000000</v>
      </c>
      <c r="E57" s="28" t="n">
        <f aca="false">Assumptions!$B$29</f>
        <v>0.08</v>
      </c>
      <c r="F57" s="27" t="n">
        <f aca="false">D57*E57</f>
        <v>1920000</v>
      </c>
      <c r="G57" s="27" t="n">
        <f aca="false">-(D57*Assumptions!$B$14+IFERROR(D57/Assumptions!$B$13,0)*Assumptions!$B$15)</f>
        <v>-840000</v>
      </c>
      <c r="H57" s="27" t="n">
        <f aca="false">-D57*Assumptions!$B$17</f>
        <v>-240000</v>
      </c>
      <c r="I57" s="27" t="n">
        <f aca="false">F57+G57+H57</f>
        <v>840000</v>
      </c>
      <c r="J57" s="29" t="n">
        <f aca="false">-Costs!D$16</f>
        <v>-6870.72</v>
      </c>
      <c r="K57" s="29" t="n">
        <f aca="false">-Costs!D$18</f>
        <v>-80000</v>
      </c>
      <c r="L57" s="30" t="n">
        <f aca="false">I57+J57+K57</f>
        <v>753129.28</v>
      </c>
      <c r="M57" s="27" t="n">
        <f aca="false">IF(L57&gt;0,L57*Assumptions!$B$23,L57)</f>
        <v>376564.64</v>
      </c>
      <c r="N57" s="27" t="n">
        <f aca="false">IF(L57&gt;0,L57*(1-Assumptions!$B$23),0)</f>
        <v>376564.64</v>
      </c>
      <c r="O57" s="31" t="n">
        <f aca="false">IFERROR(MAX(M57,0)/Assumptions!$B$24,0)</f>
        <v>7531.2928</v>
      </c>
    </row>
    <row r="58" customFormat="false" ht="15" hidden="false" customHeight="true" outlineLevel="0" collapsed="false">
      <c r="A58" s="6" t="s">
        <v>115</v>
      </c>
      <c r="B58" s="32" t="n">
        <f aca="false">Assumptions!$B$12</f>
        <v>2000</v>
      </c>
      <c r="C58" s="21" t="n">
        <f aca="false">Assumptions!$B$35</f>
        <v>1000</v>
      </c>
      <c r="D58" s="33" t="n">
        <f aca="false">B58*C58*12</f>
        <v>24000000</v>
      </c>
      <c r="E58" s="34" t="n">
        <f aca="false">Assumptions!$B$30</f>
        <v>0.09</v>
      </c>
      <c r="F58" s="33" t="n">
        <f aca="false">D58*E58</f>
        <v>2160000</v>
      </c>
      <c r="G58" s="33" t="n">
        <f aca="false">-(D58*Assumptions!$B$14+IFERROR(D58/Assumptions!$B$13,0)*Assumptions!$B$15)</f>
        <v>-840000</v>
      </c>
      <c r="H58" s="33" t="n">
        <f aca="false">-D58*Assumptions!$B$17</f>
        <v>-240000</v>
      </c>
      <c r="I58" s="33" t="n">
        <f aca="false">F58+G58+H58</f>
        <v>1080000</v>
      </c>
      <c r="J58" s="35" t="n">
        <f aca="false">-Costs!D$16</f>
        <v>-6870.72</v>
      </c>
      <c r="K58" s="35" t="n">
        <f aca="false">-Costs!D$18</f>
        <v>-80000</v>
      </c>
      <c r="L58" s="20" t="n">
        <f aca="false">I58+J58+K58</f>
        <v>993129.28</v>
      </c>
      <c r="M58" s="33" t="n">
        <f aca="false">IF(L58&gt;0,L58*Assumptions!$B$23,L58)</f>
        <v>496564.64</v>
      </c>
      <c r="N58" s="33" t="n">
        <f aca="false">IF(L58&gt;0,L58*(1-Assumptions!$B$23),0)</f>
        <v>496564.64</v>
      </c>
      <c r="O58" s="15" t="n">
        <f aca="false">IFERROR(MAX(M58,0)/Assumptions!$B$24,0)</f>
        <v>9931.2928</v>
      </c>
    </row>
    <row r="59" customFormat="false" ht="15" hidden="false" customHeight="true" outlineLevel="0" collapsed="false">
      <c r="A59" s="24" t="s">
        <v>115</v>
      </c>
      <c r="B59" s="25" t="n">
        <f aca="false">Assumptions!$B$12</f>
        <v>2000</v>
      </c>
      <c r="C59" s="26" t="n">
        <f aca="false">Assumptions!$B$36</f>
        <v>10000</v>
      </c>
      <c r="D59" s="27" t="n">
        <f aca="false">B59*C59*12</f>
        <v>240000000</v>
      </c>
      <c r="E59" s="28" t="n">
        <f aca="false">Assumptions!$B$27</f>
        <v>0.06</v>
      </c>
      <c r="F59" s="27" t="n">
        <f aca="false">D59*E59</f>
        <v>14400000</v>
      </c>
      <c r="G59" s="27" t="n">
        <f aca="false">-(D59*Assumptions!$B$14+IFERROR(D59/Assumptions!$B$13,0)*Assumptions!$B$15)</f>
        <v>-8400000</v>
      </c>
      <c r="H59" s="27" t="n">
        <f aca="false">-D59*Assumptions!$B$17</f>
        <v>-2400000</v>
      </c>
      <c r="I59" s="27" t="n">
        <f aca="false">F59+G59+H59</f>
        <v>3600000</v>
      </c>
      <c r="J59" s="29" t="n">
        <f aca="false">-Costs!E$16</f>
        <v>-11670.72</v>
      </c>
      <c r="K59" s="29" t="n">
        <f aca="false">-Costs!E$18</f>
        <v>-240000</v>
      </c>
      <c r="L59" s="30" t="n">
        <f aca="false">I59+J59+K59</f>
        <v>3348329.28</v>
      </c>
      <c r="M59" s="27" t="n">
        <f aca="false">IF(L59&gt;0,L59*Assumptions!$B$23,L59)</f>
        <v>1674164.64</v>
      </c>
      <c r="N59" s="27" t="n">
        <f aca="false">IF(L59&gt;0,L59*(1-Assumptions!$B$23),0)</f>
        <v>1674164.64</v>
      </c>
      <c r="O59" s="31" t="n">
        <f aca="false">IFERROR(MAX(M59,0)/Assumptions!$B$24,0)</f>
        <v>33483.2928</v>
      </c>
    </row>
    <row r="60" customFormat="false" ht="15" hidden="false" customHeight="true" outlineLevel="0" collapsed="false">
      <c r="A60" s="6" t="s">
        <v>115</v>
      </c>
      <c r="B60" s="32" t="n">
        <f aca="false">Assumptions!$B$12</f>
        <v>2000</v>
      </c>
      <c r="C60" s="21" t="n">
        <f aca="false">Assumptions!$B$36</f>
        <v>10000</v>
      </c>
      <c r="D60" s="33" t="n">
        <f aca="false">B60*C60*12</f>
        <v>240000000</v>
      </c>
      <c r="E60" s="34" t="n">
        <f aca="false">Assumptions!$B$28</f>
        <v>0.07</v>
      </c>
      <c r="F60" s="33" t="n">
        <f aca="false">D60*E60</f>
        <v>16800000</v>
      </c>
      <c r="G60" s="33" t="n">
        <f aca="false">-(D60*Assumptions!$B$14+IFERROR(D60/Assumptions!$B$13,0)*Assumptions!$B$15)</f>
        <v>-8400000</v>
      </c>
      <c r="H60" s="33" t="n">
        <f aca="false">-D60*Assumptions!$B$17</f>
        <v>-2400000</v>
      </c>
      <c r="I60" s="33" t="n">
        <f aca="false">F60+G60+H60</f>
        <v>6000000</v>
      </c>
      <c r="J60" s="35" t="n">
        <f aca="false">-Costs!E$16</f>
        <v>-11670.72</v>
      </c>
      <c r="K60" s="35" t="n">
        <f aca="false">-Costs!E$18</f>
        <v>-240000</v>
      </c>
      <c r="L60" s="20" t="n">
        <f aca="false">I60+J60+K60</f>
        <v>5748329.28</v>
      </c>
      <c r="M60" s="33" t="n">
        <f aca="false">IF(L60&gt;0,L60*Assumptions!$B$23,L60)</f>
        <v>2874164.64</v>
      </c>
      <c r="N60" s="33" t="n">
        <f aca="false">IF(L60&gt;0,L60*(1-Assumptions!$B$23),0)</f>
        <v>2874164.64</v>
      </c>
      <c r="O60" s="15" t="n">
        <f aca="false">IFERROR(MAX(M60,0)/Assumptions!$B$24,0)</f>
        <v>57483.2928</v>
      </c>
    </row>
    <row r="61" customFormat="false" ht="15" hidden="false" customHeight="true" outlineLevel="0" collapsed="false">
      <c r="A61" s="24" t="s">
        <v>115</v>
      </c>
      <c r="B61" s="25" t="n">
        <f aca="false">Assumptions!$B$12</f>
        <v>2000</v>
      </c>
      <c r="C61" s="26" t="n">
        <f aca="false">Assumptions!$B$36</f>
        <v>10000</v>
      </c>
      <c r="D61" s="27" t="n">
        <f aca="false">B61*C61*12</f>
        <v>240000000</v>
      </c>
      <c r="E61" s="28" t="n">
        <f aca="false">Assumptions!$B$29</f>
        <v>0.08</v>
      </c>
      <c r="F61" s="27" t="n">
        <f aca="false">D61*E61</f>
        <v>19200000</v>
      </c>
      <c r="G61" s="27" t="n">
        <f aca="false">-(D61*Assumptions!$B$14+IFERROR(D61/Assumptions!$B$13,0)*Assumptions!$B$15)</f>
        <v>-8400000</v>
      </c>
      <c r="H61" s="27" t="n">
        <f aca="false">-D61*Assumptions!$B$17</f>
        <v>-2400000</v>
      </c>
      <c r="I61" s="27" t="n">
        <f aca="false">F61+G61+H61</f>
        <v>8400000</v>
      </c>
      <c r="J61" s="29" t="n">
        <f aca="false">-Costs!E$16</f>
        <v>-11670.72</v>
      </c>
      <c r="K61" s="29" t="n">
        <f aca="false">-Costs!E$18</f>
        <v>-240000</v>
      </c>
      <c r="L61" s="30" t="n">
        <f aca="false">I61+J61+K61</f>
        <v>8148329.28</v>
      </c>
      <c r="M61" s="27" t="n">
        <f aca="false">IF(L61&gt;0,L61*Assumptions!$B$23,L61)</f>
        <v>4074164.64</v>
      </c>
      <c r="N61" s="27" t="n">
        <f aca="false">IF(L61&gt;0,L61*(1-Assumptions!$B$23),0)</f>
        <v>4074164.64</v>
      </c>
      <c r="O61" s="31" t="n">
        <f aca="false">IFERROR(MAX(M61,0)/Assumptions!$B$24,0)</f>
        <v>81483.2928</v>
      </c>
    </row>
    <row r="62" customFormat="false" ht="15" hidden="false" customHeight="true" outlineLevel="0" collapsed="false">
      <c r="A62" s="6" t="s">
        <v>115</v>
      </c>
      <c r="B62" s="32" t="n">
        <f aca="false">Assumptions!$B$12</f>
        <v>2000</v>
      </c>
      <c r="C62" s="21" t="n">
        <f aca="false">Assumptions!$B$36</f>
        <v>10000</v>
      </c>
      <c r="D62" s="33" t="n">
        <f aca="false">B62*C62*12</f>
        <v>240000000</v>
      </c>
      <c r="E62" s="34" t="n">
        <f aca="false">Assumptions!$B$30</f>
        <v>0.09</v>
      </c>
      <c r="F62" s="33" t="n">
        <f aca="false">D62*E62</f>
        <v>21600000</v>
      </c>
      <c r="G62" s="33" t="n">
        <f aca="false">-(D62*Assumptions!$B$14+IFERROR(D62/Assumptions!$B$13,0)*Assumptions!$B$15)</f>
        <v>-8400000</v>
      </c>
      <c r="H62" s="33" t="n">
        <f aca="false">-D62*Assumptions!$B$17</f>
        <v>-2400000</v>
      </c>
      <c r="I62" s="33" t="n">
        <f aca="false">F62+G62+H62</f>
        <v>10800000</v>
      </c>
      <c r="J62" s="35" t="n">
        <f aca="false">-Costs!E$16</f>
        <v>-11670.72</v>
      </c>
      <c r="K62" s="35" t="n">
        <f aca="false">-Costs!E$18</f>
        <v>-240000</v>
      </c>
      <c r="L62" s="20" t="n">
        <f aca="false">I62+J62+K62</f>
        <v>10548329.28</v>
      </c>
      <c r="M62" s="33" t="n">
        <f aca="false">IF(L62&gt;0,L62*Assumptions!$B$23,L62)</f>
        <v>5274164.64</v>
      </c>
      <c r="N62" s="33" t="n">
        <f aca="false">IF(L62&gt;0,L62*(1-Assumptions!$B$23),0)</f>
        <v>5274164.64</v>
      </c>
      <c r="O62" s="15" t="n">
        <f aca="false">IFERROR(MAX(M62,0)/Assumptions!$B$24,0)</f>
        <v>105483.2928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2"/>
    <col collapsed="false" customWidth="true" hidden="false" outlineLevel="0" max="3" min="3" style="1" width="46"/>
    <col collapsed="false" customWidth="true" hidden="false" outlineLevel="0" max="4" min="4" style="1" width="20"/>
    <col collapsed="false" customWidth="true" hidden="false" outlineLevel="0" max="5" min="5" style="1" width="24"/>
  </cols>
  <sheetData>
    <row r="1" customFormat="false" ht="17.25" hidden="false" customHeight="true" outlineLevel="0" collapsed="false">
      <c r="A1" s="2" t="s">
        <v>116</v>
      </c>
    </row>
    <row r="3" customFormat="false" ht="15" hidden="false" customHeight="true" outlineLevel="0" collapsed="false">
      <c r="A3" s="16" t="s">
        <v>117</v>
      </c>
    </row>
    <row r="4" customFormat="false" ht="15" hidden="false" customHeight="true" outlineLevel="0" collapsed="false">
      <c r="A4" s="8" t="s">
        <v>40</v>
      </c>
      <c r="B4" s="36" t="n">
        <f aca="false">Assumptions!$B$16</f>
        <v>0.005</v>
      </c>
      <c r="C4" s="36" t="n">
        <f aca="false">Assumptions!$B$17</f>
        <v>0.01</v>
      </c>
      <c r="D4" s="36" t="n">
        <f aca="false">Assumptions!$B$18</f>
        <v>0.02</v>
      </c>
    </row>
    <row r="5" customFormat="false" ht="15" hidden="false" customHeight="true" outlineLevel="0" collapsed="false">
      <c r="A5" s="34" t="n">
        <f aca="false">Assumptions!$B$27</f>
        <v>0.06</v>
      </c>
      <c r="B5" s="13" t="n">
        <f aca="false">$A5-Assumptions!$B$14-(Assumptions!$B$15/Assumptions!$B$13)-Assumptions!$B$16</f>
        <v>0.02</v>
      </c>
      <c r="C5" s="13" t="n">
        <f aca="false">$A5-Assumptions!$B$14-(Assumptions!$B$15/Assumptions!$B$13)-Assumptions!$B$17</f>
        <v>0.015</v>
      </c>
      <c r="D5" s="13" t="n">
        <f aca="false">$A5-Assumptions!$B$14-(Assumptions!$B$15/Assumptions!$B$13)-Assumptions!$B$18</f>
        <v>0.00499999999999999</v>
      </c>
    </row>
    <row r="6" customFormat="false" ht="15" hidden="false" customHeight="true" outlineLevel="0" collapsed="false">
      <c r="A6" s="34" t="n">
        <f aca="false">Assumptions!$B$28</f>
        <v>0.07</v>
      </c>
      <c r="B6" s="13" t="n">
        <f aca="false">$A6-Assumptions!$B$14-(Assumptions!$B$15/Assumptions!$B$13)-Assumptions!$B$16</f>
        <v>0.03</v>
      </c>
      <c r="C6" s="13" t="n">
        <f aca="false">$A6-Assumptions!$B$14-(Assumptions!$B$15/Assumptions!$B$13)-Assumptions!$B$17</f>
        <v>0.025</v>
      </c>
      <c r="D6" s="13" t="n">
        <f aca="false">$A6-Assumptions!$B$14-(Assumptions!$B$15/Assumptions!$B$13)-Assumptions!$B$18</f>
        <v>0.015</v>
      </c>
    </row>
    <row r="7" customFormat="false" ht="15" hidden="false" customHeight="true" outlineLevel="0" collapsed="false">
      <c r="A7" s="34" t="n">
        <f aca="false">Assumptions!$B$29</f>
        <v>0.08</v>
      </c>
      <c r="B7" s="13" t="n">
        <f aca="false">$A7-Assumptions!$B$14-(Assumptions!$B$15/Assumptions!$B$13)-Assumptions!$B$16</f>
        <v>0.04</v>
      </c>
      <c r="C7" s="13" t="n">
        <f aca="false">$A7-Assumptions!$B$14-(Assumptions!$B$15/Assumptions!$B$13)-Assumptions!$B$17</f>
        <v>0.035</v>
      </c>
      <c r="D7" s="13" t="n">
        <f aca="false">$A7-Assumptions!$B$14-(Assumptions!$B$15/Assumptions!$B$13)-Assumptions!$B$18</f>
        <v>0.025</v>
      </c>
    </row>
    <row r="8" customFormat="false" ht="15" hidden="false" customHeight="true" outlineLevel="0" collapsed="false">
      <c r="A8" s="34" t="n">
        <f aca="false">Assumptions!$B$30</f>
        <v>0.09</v>
      </c>
      <c r="B8" s="13" t="n">
        <f aca="false">$A8-Assumptions!$B$14-(Assumptions!$B$15/Assumptions!$B$13)-Assumptions!$B$16</f>
        <v>0.05</v>
      </c>
      <c r="C8" s="13" t="n">
        <f aca="false">$A8-Assumptions!$B$14-(Assumptions!$B$15/Assumptions!$B$13)-Assumptions!$B$17</f>
        <v>0.045</v>
      </c>
      <c r="D8" s="13" t="n">
        <f aca="false">$A8-Assumptions!$B$14-(Assumptions!$B$15/Assumptions!$B$13)-Assumptions!$B$18</f>
        <v>0.035</v>
      </c>
    </row>
    <row r="10" customFormat="false" ht="15" hidden="false" customHeight="true" outlineLevel="0" collapsed="false">
      <c r="A10" s="4" t="s">
        <v>118</v>
      </c>
    </row>
    <row r="12" customFormat="false" ht="15" hidden="false" customHeight="true" outlineLevel="0" collapsed="false">
      <c r="A12" s="16" t="s">
        <v>119</v>
      </c>
    </row>
    <row r="13" customFormat="false" ht="15" hidden="false" customHeight="true" outlineLevel="0" collapsed="false">
      <c r="A13" s="8" t="s">
        <v>120</v>
      </c>
      <c r="B13" s="36" t="n">
        <f aca="false">Assumptions!$B$27</f>
        <v>0.06</v>
      </c>
      <c r="C13" s="36" t="n">
        <f aca="false">Assumptions!$B$28</f>
        <v>0.07</v>
      </c>
      <c r="D13" s="36" t="n">
        <f aca="false">Assumptions!$B$29</f>
        <v>0.08</v>
      </c>
      <c r="E13" s="36" t="n">
        <f aca="false">Assumptions!$B$30</f>
        <v>0.09</v>
      </c>
    </row>
    <row r="14" customFormat="false" ht="15" hidden="false" customHeight="true" outlineLevel="0" collapsed="false">
      <c r="A14" s="37" t="n">
        <v>10</v>
      </c>
      <c r="B14" s="13" t="n">
        <f aca="false">Assumptions!$B$27-Assumptions!$B$14-(Assumptions!$B$15/$A14)-Assumptions!$B$17</f>
        <v>-0.009</v>
      </c>
      <c r="C14" s="13" t="n">
        <f aca="false">Assumptions!$B$28-Assumptions!$B$14-(Assumptions!$B$15/$A14)-Assumptions!$B$17</f>
        <v>0.00100000000000001</v>
      </c>
      <c r="D14" s="13" t="n">
        <f aca="false">Assumptions!$B$29-Assumptions!$B$14-(Assumptions!$B$15/$A14)-Assumptions!$B$17</f>
        <v>0.011</v>
      </c>
      <c r="E14" s="13" t="n">
        <f aca="false">Assumptions!$B$30-Assumptions!$B$14-(Assumptions!$B$15/$A14)-Assumptions!$B$17</f>
        <v>0.021</v>
      </c>
    </row>
    <row r="15" customFormat="false" ht="15" hidden="false" customHeight="true" outlineLevel="0" collapsed="false">
      <c r="A15" s="37" t="n">
        <v>25</v>
      </c>
      <c r="B15" s="13" t="n">
        <f aca="false">Assumptions!$B$27-Assumptions!$B$14-(Assumptions!$B$15/$A15)-Assumptions!$B$17</f>
        <v>0.009</v>
      </c>
      <c r="C15" s="13" t="n">
        <f aca="false">Assumptions!$B$28-Assumptions!$B$14-(Assumptions!$B$15/$A15)-Assumptions!$B$17</f>
        <v>0.019</v>
      </c>
      <c r="D15" s="13" t="n">
        <f aca="false">Assumptions!$B$29-Assumptions!$B$14-(Assumptions!$B$15/$A15)-Assumptions!$B$17</f>
        <v>0.029</v>
      </c>
      <c r="E15" s="13" t="n">
        <f aca="false">Assumptions!$B$30-Assumptions!$B$14-(Assumptions!$B$15/$A15)-Assumptions!$B$17</f>
        <v>0.039</v>
      </c>
    </row>
    <row r="16" customFormat="false" ht="15" hidden="false" customHeight="true" outlineLevel="0" collapsed="false">
      <c r="A16" s="37" t="n">
        <v>50</v>
      </c>
      <c r="B16" s="13" t="n">
        <f aca="false">Assumptions!$B$27-Assumptions!$B$14-(Assumptions!$B$15/$A16)-Assumptions!$B$17</f>
        <v>0.015</v>
      </c>
      <c r="C16" s="13" t="n">
        <f aca="false">Assumptions!$B$28-Assumptions!$B$14-(Assumptions!$B$15/$A16)-Assumptions!$B$17</f>
        <v>0.025</v>
      </c>
      <c r="D16" s="13" t="n">
        <f aca="false">Assumptions!$B$29-Assumptions!$B$14-(Assumptions!$B$15/$A16)-Assumptions!$B$17</f>
        <v>0.035</v>
      </c>
      <c r="E16" s="13" t="n">
        <f aca="false">Assumptions!$B$30-Assumptions!$B$14-(Assumptions!$B$15/$A16)-Assumptions!$B$17</f>
        <v>0.045</v>
      </c>
    </row>
    <row r="17" customFormat="false" ht="15" hidden="false" customHeight="true" outlineLevel="0" collapsed="false">
      <c r="A17" s="37" t="n">
        <v>100</v>
      </c>
      <c r="B17" s="13" t="n">
        <f aca="false">Assumptions!$B$27-Assumptions!$B$14-(Assumptions!$B$15/$A17)-Assumptions!$B$17</f>
        <v>0.018</v>
      </c>
      <c r="C17" s="13" t="n">
        <f aca="false">Assumptions!$B$28-Assumptions!$B$14-(Assumptions!$B$15/$A17)-Assumptions!$B$17</f>
        <v>0.028</v>
      </c>
      <c r="D17" s="13" t="n">
        <f aca="false">Assumptions!$B$29-Assumptions!$B$14-(Assumptions!$B$15/$A17)-Assumptions!$B$17</f>
        <v>0.038</v>
      </c>
      <c r="E17" s="13" t="n">
        <f aca="false">Assumptions!$B$30-Assumptions!$B$14-(Assumptions!$B$15/$A17)-Assumptions!$B$17</f>
        <v>0.048</v>
      </c>
    </row>
    <row r="18" customFormat="false" ht="15" hidden="false" customHeight="true" outlineLevel="0" collapsed="false">
      <c r="A18" s="37" t="n">
        <v>250</v>
      </c>
      <c r="B18" s="13" t="n">
        <f aca="false">Assumptions!$B$27-Assumptions!$B$14-(Assumptions!$B$15/$A18)-Assumptions!$B$17</f>
        <v>0.0198</v>
      </c>
      <c r="C18" s="13" t="n">
        <f aca="false">Assumptions!$B$28-Assumptions!$B$14-(Assumptions!$B$15/$A18)-Assumptions!$B$17</f>
        <v>0.0298</v>
      </c>
      <c r="D18" s="13" t="n">
        <f aca="false">Assumptions!$B$29-Assumptions!$B$14-(Assumptions!$B$15/$A18)-Assumptions!$B$17</f>
        <v>0.0398</v>
      </c>
      <c r="E18" s="13" t="n">
        <f aca="false">Assumptions!$B$30-Assumptions!$B$14-(Assumptions!$B$15/$A18)-Assumptions!$B$17</f>
        <v>0.0498</v>
      </c>
    </row>
    <row r="21" customFormat="false" ht="15" hidden="false" customHeight="true" outlineLevel="0" collapsed="false">
      <c r="A21" s="16" t="s">
        <v>121</v>
      </c>
    </row>
    <row r="22" customFormat="false" ht="15" hidden="false" customHeight="true" outlineLevel="0" collapsed="false">
      <c r="A22" s="3" t="s">
        <v>122</v>
      </c>
    </row>
    <row r="23" customFormat="false" ht="15" hidden="false" customHeight="true" outlineLevel="0" collapsed="false">
      <c r="A23" s="8" t="s">
        <v>98</v>
      </c>
      <c r="B23" s="8" t="s">
        <v>123</v>
      </c>
      <c r="C23" s="8" t="s">
        <v>124</v>
      </c>
      <c r="D23" s="8" t="s">
        <v>125</v>
      </c>
      <c r="E23" s="8" t="s">
        <v>126</v>
      </c>
    </row>
    <row r="24" customFormat="false" ht="15" hidden="false" customHeight="true" outlineLevel="0" collapsed="false">
      <c r="A24" s="6" t="s">
        <v>127</v>
      </c>
      <c r="B24" s="15" t="n">
        <v>68</v>
      </c>
      <c r="C24" s="15" t="n">
        <v>200</v>
      </c>
      <c r="D24" s="15" t="n">
        <v>1800</v>
      </c>
      <c r="E24" s="18" t="s">
        <v>128</v>
      </c>
    </row>
    <row r="25" customFormat="false" ht="15" hidden="false" customHeight="true" outlineLevel="0" collapsed="false">
      <c r="A25" s="6" t="s">
        <v>129</v>
      </c>
      <c r="B25" s="15" t="n">
        <v>15</v>
      </c>
      <c r="C25" s="15" t="n">
        <v>200</v>
      </c>
      <c r="D25" s="15" t="n">
        <v>396</v>
      </c>
      <c r="E25" s="18" t="s">
        <v>130</v>
      </c>
    </row>
    <row r="26" customFormat="false" ht="15" hidden="false" customHeight="true" outlineLevel="0" collapsed="false">
      <c r="A26" s="6" t="s">
        <v>131</v>
      </c>
      <c r="B26" s="15" t="n">
        <v>4</v>
      </c>
      <c r="C26" s="15" t="s">
        <v>132</v>
      </c>
      <c r="D26" s="15" t="s">
        <v>132</v>
      </c>
      <c r="E26" s="18" t="s">
        <v>133</v>
      </c>
    </row>
    <row r="28" customFormat="false" ht="15" hidden="false" customHeight="true" outlineLevel="0" collapsed="false">
      <c r="A28" s="4" t="s">
        <v>134</v>
      </c>
    </row>
    <row r="31" customFormat="false" ht="15" hidden="false" customHeight="true" outlineLevel="0" collapsed="false">
      <c r="A31" s="16" t="s">
        <v>135</v>
      </c>
    </row>
    <row r="32" customFormat="false" ht="15" hidden="false" customHeight="true" outlineLevel="0" collapsed="false">
      <c r="A32" s="8" t="s">
        <v>136</v>
      </c>
      <c r="B32" s="8" t="s">
        <v>137</v>
      </c>
      <c r="C32" s="8" t="s">
        <v>138</v>
      </c>
    </row>
    <row r="33" customFormat="false" ht="15" hidden="false" customHeight="true" outlineLevel="0" collapsed="false">
      <c r="A33" s="6" t="s">
        <v>139</v>
      </c>
      <c r="B33" s="38" t="n">
        <v>0.06</v>
      </c>
      <c r="C33" s="3" t="s">
        <v>140</v>
      </c>
    </row>
    <row r="34" customFormat="false" ht="15" hidden="false" customHeight="true" outlineLevel="0" collapsed="false">
      <c r="A34" s="6" t="s">
        <v>141</v>
      </c>
      <c r="B34" s="38" t="n">
        <v>0.07</v>
      </c>
      <c r="C34" s="3" t="s">
        <v>140</v>
      </c>
    </row>
    <row r="35" customFormat="false" ht="15" hidden="false" customHeight="true" outlineLevel="0" collapsed="false">
      <c r="A35" s="6" t="s">
        <v>142</v>
      </c>
      <c r="B35" s="38" t="n">
        <v>0.08</v>
      </c>
      <c r="C35" s="3" t="s">
        <v>140</v>
      </c>
    </row>
    <row r="36" customFormat="false" ht="15" hidden="false" customHeight="true" outlineLevel="0" collapsed="false">
      <c r="A36" s="6" t="s">
        <v>143</v>
      </c>
      <c r="B36" s="38" t="n">
        <v>0.09</v>
      </c>
      <c r="C36" s="3" t="s">
        <v>140</v>
      </c>
    </row>
    <row r="37" customFormat="false" ht="15" hidden="false" customHeight="true" outlineLevel="0" collapsed="false">
      <c r="A37" s="6" t="s">
        <v>144</v>
      </c>
      <c r="B37" s="38" t="n">
        <v>0.104</v>
      </c>
      <c r="C37" s="3" t="s">
        <v>145</v>
      </c>
    </row>
    <row r="38" customFormat="false" ht="15" hidden="false" customHeight="true" outlineLevel="0" collapsed="false">
      <c r="A38" s="6" t="s">
        <v>146</v>
      </c>
      <c r="B38" s="38" t="n">
        <v>0.224</v>
      </c>
      <c r="C38" s="3" t="s">
        <v>147</v>
      </c>
    </row>
    <row r="39" customFormat="false" ht="15" hidden="false" customHeight="true" outlineLevel="0" collapsed="false">
      <c r="A39" s="6" t="s">
        <v>148</v>
      </c>
      <c r="B39" s="38" t="n">
        <v>0.254</v>
      </c>
      <c r="C39" s="3"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I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8"/>
    <col collapsed="false" customWidth="true" hidden="false" outlineLevel="0" max="4" min="3" style="1" width="20"/>
    <col collapsed="false" customWidth="true" hidden="false" outlineLevel="0" max="9" min="5" style="1" width="18"/>
  </cols>
  <sheetData>
    <row r="1" customFormat="false" ht="17.25" hidden="false" customHeight="true" outlineLevel="0" collapsed="false">
      <c r="A1" s="2" t="s">
        <v>149</v>
      </c>
    </row>
    <row r="2" customFormat="false" ht="15" hidden="false" customHeight="true" outlineLevel="0" collapsed="false">
      <c r="A2" s="3" t="s">
        <v>150</v>
      </c>
    </row>
    <row r="3" customFormat="false" ht="15" hidden="false" customHeight="true" outlineLevel="0" collapsed="false">
      <c r="A3" s="4" t="s">
        <v>151</v>
      </c>
    </row>
    <row r="5" customFormat="false" ht="15" hidden="false" customHeight="true" outlineLevel="0" collapsed="false">
      <c r="A5" s="8" t="s">
        <v>152</v>
      </c>
      <c r="B5" s="8" t="s">
        <v>153</v>
      </c>
      <c r="C5" s="8" t="s">
        <v>154</v>
      </c>
      <c r="D5" s="8" t="s">
        <v>155</v>
      </c>
      <c r="E5" s="8" t="s">
        <v>156</v>
      </c>
      <c r="F5" s="8" t="s">
        <v>157</v>
      </c>
    </row>
    <row r="6" customFormat="false" ht="15" hidden="false" customHeight="true" outlineLevel="0" collapsed="false">
      <c r="A6" s="6" t="s">
        <v>158</v>
      </c>
      <c r="B6" s="6" t="s">
        <v>159</v>
      </c>
      <c r="C6" s="39" t="n">
        <v>3138.72</v>
      </c>
      <c r="D6" s="40" t="n">
        <v>0</v>
      </c>
      <c r="E6" s="33" t="n">
        <f aca="false">D6*Assumptions!$B$19</f>
        <v>0</v>
      </c>
      <c r="F6" s="20" t="n">
        <f aca="false">C6+E6</f>
        <v>3138.72</v>
      </c>
    </row>
    <row r="7" customFormat="false" ht="15" hidden="false" customHeight="true" outlineLevel="0" collapsed="false">
      <c r="A7" s="6" t="s">
        <v>160</v>
      </c>
      <c r="B7" s="6" t="s">
        <v>161</v>
      </c>
      <c r="C7" s="39" t="n">
        <v>3138.72</v>
      </c>
      <c r="D7" s="40" t="n">
        <v>1</v>
      </c>
      <c r="E7" s="33" t="n">
        <f aca="false">D7*Assumptions!$B$19</f>
        <v>80000</v>
      </c>
      <c r="F7" s="20" t="n">
        <f aca="false">C7+E7</f>
        <v>83138.72</v>
      </c>
    </row>
    <row r="8" customFormat="false" ht="15" hidden="false" customHeight="true" outlineLevel="0" collapsed="false">
      <c r="A8" s="6" t="s">
        <v>162</v>
      </c>
      <c r="B8" s="6" t="s">
        <v>163</v>
      </c>
      <c r="C8" s="39" t="n">
        <v>6870.72</v>
      </c>
      <c r="D8" s="40" t="n">
        <v>1</v>
      </c>
      <c r="E8" s="33" t="n">
        <f aca="false">D8*Assumptions!$B$19</f>
        <v>80000</v>
      </c>
      <c r="F8" s="20" t="n">
        <f aca="false">C8+E8</f>
        <v>86870.72</v>
      </c>
    </row>
    <row r="9" customFormat="false" ht="15" hidden="false" customHeight="true" outlineLevel="0" collapsed="false">
      <c r="A9" s="6" t="s">
        <v>164</v>
      </c>
      <c r="B9" s="6" t="s">
        <v>165</v>
      </c>
      <c r="C9" s="39" t="n">
        <v>6870.72</v>
      </c>
      <c r="D9" s="40" t="n">
        <v>2</v>
      </c>
      <c r="E9" s="33" t="n">
        <f aca="false">D9*Assumptions!$B$19</f>
        <v>160000</v>
      </c>
      <c r="F9" s="20" t="n">
        <f aca="false">C9+E9</f>
        <v>166870.72</v>
      </c>
    </row>
    <row r="10" customFormat="false" ht="15" hidden="false" customHeight="true" outlineLevel="0" collapsed="false">
      <c r="A10" s="6" t="s">
        <v>166</v>
      </c>
      <c r="B10" s="6" t="s">
        <v>167</v>
      </c>
      <c r="C10" s="39" t="n">
        <v>11670.72</v>
      </c>
      <c r="D10" s="40" t="n">
        <v>3</v>
      </c>
      <c r="E10" s="33" t="n">
        <f aca="false">D10*Assumptions!$B$19</f>
        <v>240000</v>
      </c>
      <c r="F10" s="20" t="n">
        <f aca="false">C10+E10</f>
        <v>251670.72</v>
      </c>
    </row>
    <row r="12" customFormat="false" ht="15" hidden="false" customHeight="true" outlineLevel="0" collapsed="false">
      <c r="A12" s="8" t="s">
        <v>168</v>
      </c>
    </row>
    <row r="13" customFormat="false" ht="15" hidden="false" customHeight="true" outlineLevel="0" collapsed="false">
      <c r="A13" s="6" t="s">
        <v>169</v>
      </c>
      <c r="B13" s="41" t="n">
        <v>100000</v>
      </c>
    </row>
    <row r="14" customFormat="false" ht="15" hidden="false" customHeight="true" outlineLevel="0" collapsed="false">
      <c r="A14" s="6" t="s">
        <v>170</v>
      </c>
      <c r="B14" s="41" t="n">
        <v>300000</v>
      </c>
    </row>
    <row r="15" customFormat="false" ht="15" hidden="false" customHeight="true" outlineLevel="0" collapsed="false">
      <c r="A15" s="6" t="s">
        <v>171</v>
      </c>
      <c r="B15" s="41" t="n">
        <v>500000</v>
      </c>
    </row>
    <row r="17" customFormat="false" ht="15" hidden="false" customHeight="true" outlineLevel="0" collapsed="false">
      <c r="A17" s="16" t="s">
        <v>172</v>
      </c>
    </row>
    <row r="18" customFormat="false" ht="15" hidden="false" customHeight="true" outlineLevel="0" collapsed="false">
      <c r="A18" s="8" t="s">
        <v>173</v>
      </c>
      <c r="B18" s="8" t="s">
        <v>40</v>
      </c>
      <c r="C18" s="8" t="s">
        <v>174</v>
      </c>
      <c r="D18" s="8" t="s">
        <v>175</v>
      </c>
      <c r="E18" s="8" t="s">
        <v>176</v>
      </c>
    </row>
    <row r="19" customFormat="false" ht="15" hidden="false" customHeight="true" outlineLevel="0" collapsed="false">
      <c r="A19" s="29" t="n">
        <f aca="false">$B$13</f>
        <v>100000</v>
      </c>
      <c r="B19" s="28" t="n">
        <f aca="false">Assumptions!$B$27</f>
        <v>0.06</v>
      </c>
      <c r="C19" s="31" t="n">
        <f aca="false">IFERROR(IF((($A19+$F$6)/(Assumptions!$B$10*12*Assumptions!$C$27))&lt;200,ROUNDUP((($A19+$F$6)/(Assumptions!$B$10*12*Assumptions!$C$27)),0),IF((($A19+$F$7)/(Assumptions!$B$10*12*Assumptions!$C$27))&lt;1000,ROUNDUP((($A19+$F$7)/(Assumptions!$B$10*12*Assumptions!$C$27)),0),IF((($A19+$F$8)/(Assumptions!$B$10*12*Assumptions!$C$27))&lt;2000,ROUNDUP((($A19+$F$8)/(Assumptions!$B$10*12*Assumptions!$C$27)),0),IF((($A19+$F$9)/(Assumptions!$B$10*12*Assumptions!$C$27))&lt;10000,ROUNDUP((($A19+$F$9)/(Assumptions!$B$10*12*Assumptions!$C$27)),0),ROUNDUP((($A19+$F$10)/(Assumptions!$B$10*12*Assumptions!$C$27)),0))))),"n/a")</f>
        <v>17762</v>
      </c>
      <c r="D19" s="31" t="n">
        <f aca="false">IFERROR(IF((($A19+$F$6)/(Assumptions!$B$11*12*Assumptions!$C$27))&lt;200,ROUNDUP((($A19+$F$6)/(Assumptions!$B$11*12*Assumptions!$C$27)),0),IF((($A19+$F$7)/(Assumptions!$B$11*12*Assumptions!$C$27))&lt;1000,ROUNDUP((($A19+$F$7)/(Assumptions!$B$11*12*Assumptions!$C$27)),0),IF((($A19+$F$8)/(Assumptions!$B$11*12*Assumptions!$C$27))&lt;2000,ROUNDUP((($A19+$F$8)/(Assumptions!$B$11*12*Assumptions!$C$27)),0),IF((($A19+$F$9)/(Assumptions!$B$11*12*Assumptions!$C$27))&lt;10000,ROUNDUP((($A19+$F$9)/(Assumptions!$B$11*12*Assumptions!$C$27)),0),ROUNDUP((($A19+$F$10)/(Assumptions!$B$11*12*Assumptions!$C$27)),0))))),"n/a")</f>
        <v>2966</v>
      </c>
      <c r="E19" s="31" t="n">
        <f aca="false">IFERROR(IF((($A19+$F$6)/(Assumptions!$B$12*12*Assumptions!$C$27))&lt;200,ROUNDUP((($A19+$F$6)/(Assumptions!$B$12*12*Assumptions!$C$27)),0),IF((($A19+$F$7)/(Assumptions!$B$12*12*Assumptions!$C$27))&lt;1000,ROUNDUP((($A19+$F$7)/(Assumptions!$B$12*12*Assumptions!$C$27)),0),IF((($A19+$F$8)/(Assumptions!$B$12*12*Assumptions!$C$27))&lt;2000,ROUNDUP((($A19+$F$8)/(Assumptions!$B$12*12*Assumptions!$C$27)),0),IF((($A19+$F$9)/(Assumptions!$B$12*12*Assumptions!$C$27))&lt;10000,ROUNDUP((($A19+$F$9)/(Assumptions!$B$12*12*Assumptions!$C$27)),0),ROUNDUP((($A19+$F$10)/(Assumptions!$B$12*12*Assumptions!$C$27)),0))))),"n/a")</f>
        <v>509</v>
      </c>
    </row>
    <row r="20" customFormat="false" ht="15" hidden="false" customHeight="true" outlineLevel="0" collapsed="false">
      <c r="A20" s="35" t="n">
        <f aca="false">$B$13</f>
        <v>100000</v>
      </c>
      <c r="B20" s="34" t="n">
        <f aca="false">Assumptions!$B$28</f>
        <v>0.07</v>
      </c>
      <c r="C20" s="15" t="n">
        <f aca="false">IFERROR(IF((($A20+$F$6)/(Assumptions!$B$10*12*Assumptions!$C$28))&lt;200,ROUNDUP((($A20+$F$6)/(Assumptions!$B$10*12*Assumptions!$C$28)),0),IF((($A20+$F$7)/(Assumptions!$B$10*12*Assumptions!$C$28))&lt;1000,ROUNDUP((($A20+$F$7)/(Assumptions!$B$10*12*Assumptions!$C$28)),0),IF((($A20+$F$8)/(Assumptions!$B$10*12*Assumptions!$C$28))&lt;2000,ROUNDUP((($A20+$F$8)/(Assumptions!$B$10*12*Assumptions!$C$28)),0),IF((($A20+$F$9)/(Assumptions!$B$10*12*Assumptions!$C$28))&lt;10000,ROUNDUP((($A20+$F$9)/(Assumptions!$B$10*12*Assumptions!$C$28)),0),ROUNDUP((($A20+$F$10)/(Assumptions!$B$10*12*Assumptions!$C$28)),0))))),"n/a")</f>
        <v>8087</v>
      </c>
      <c r="D20" s="15" t="n">
        <f aca="false">IFERROR(IF((($A20+$F$6)/(Assumptions!$B$11*12*Assumptions!$C$28))&lt;200,ROUNDUP((($A20+$F$6)/(Assumptions!$B$11*12*Assumptions!$C$28)),0),IF((($A20+$F$7)/(Assumptions!$B$11*12*Assumptions!$C$28))&lt;1000,ROUNDUP((($A20+$F$7)/(Assumptions!$B$11*12*Assumptions!$C$28)),0),IF((($A20+$F$8)/(Assumptions!$B$11*12*Assumptions!$C$28))&lt;2000,ROUNDUP((($A20+$F$8)/(Assumptions!$B$11*12*Assumptions!$C$28)),0),IF((($A20+$F$9)/(Assumptions!$B$11*12*Assumptions!$C$28))&lt;10000,ROUNDUP((($A20+$F$9)/(Assumptions!$B$11*12*Assumptions!$C$28)),0),ROUNDUP((($A20+$F$10)/(Assumptions!$B$11*12*Assumptions!$C$28)),0))))),"n/a")</f>
        <v>1246</v>
      </c>
      <c r="E20" s="15" t="n">
        <f aca="false">IFERROR(IF((($A20+$F$6)/(Assumptions!$B$12*12*Assumptions!$C$28))&lt;200,ROUNDUP((($A20+$F$6)/(Assumptions!$B$12*12*Assumptions!$C$28)),0),IF((($A20+$F$7)/(Assumptions!$B$12*12*Assumptions!$C$28))&lt;1000,ROUNDUP((($A20+$F$7)/(Assumptions!$B$12*12*Assumptions!$C$28)),0),IF((($A20+$F$8)/(Assumptions!$B$12*12*Assumptions!$C$28))&lt;2000,ROUNDUP((($A20+$F$8)/(Assumptions!$B$12*12*Assumptions!$C$28)),0),IF((($A20+$F$9)/(Assumptions!$B$12*12*Assumptions!$C$28))&lt;10000,ROUNDUP((($A20+$F$9)/(Assumptions!$B$12*12*Assumptions!$C$28)),0),ROUNDUP((($A20+$F$10)/(Assumptions!$B$12*12*Assumptions!$C$28)),0))))),"n/a")</f>
        <v>172</v>
      </c>
    </row>
    <row r="21" customFormat="false" ht="15" hidden="false" customHeight="true" outlineLevel="0" collapsed="false">
      <c r="A21" s="29" t="n">
        <f aca="false">$B$13</f>
        <v>100000</v>
      </c>
      <c r="B21" s="28" t="n">
        <f aca="false">Assumptions!$B$29</f>
        <v>0.08</v>
      </c>
      <c r="C21" s="31" t="n">
        <f aca="false">IFERROR(IF((($A21+$F$6)/(Assumptions!$B$10*12*Assumptions!$C$29))&lt;200,ROUNDUP((($A21+$F$6)/(Assumptions!$B$10*12*Assumptions!$C$29)),0),IF((($A21+$F$7)/(Assumptions!$B$10*12*Assumptions!$C$29))&lt;1000,ROUNDUP((($A21+$F$7)/(Assumptions!$B$10*12*Assumptions!$C$29)),0),IF((($A21+$F$8)/(Assumptions!$B$10*12*Assumptions!$C$29))&lt;2000,ROUNDUP((($A21+$F$8)/(Assumptions!$B$10*12*Assumptions!$C$29)),0),IF((($A21+$F$9)/(Assumptions!$B$10*12*Assumptions!$C$29))&lt;10000,ROUNDUP((($A21+$F$9)/(Assumptions!$B$10*12*Assumptions!$C$29)),0),ROUNDUP((($A21+$F$10)/(Assumptions!$B$10*12*Assumptions!$C$29)),0))))),"n/a")</f>
        <v>5777</v>
      </c>
      <c r="D21" s="31" t="n">
        <f aca="false">IFERROR(IF((($A21+$F$6)/(Assumptions!$B$11*12*Assumptions!$C$29))&lt;200,ROUNDUP((($A21+$F$6)/(Assumptions!$B$11*12*Assumptions!$C$29)),0),IF((($A21+$F$7)/(Assumptions!$B$11*12*Assumptions!$C$29))&lt;1000,ROUNDUP((($A21+$F$7)/(Assumptions!$B$11*12*Assumptions!$C$29)),0),IF((($A21+$F$8)/(Assumptions!$B$11*12*Assumptions!$C$29))&lt;2000,ROUNDUP((($A21+$F$8)/(Assumptions!$B$11*12*Assumptions!$C$29)),0),IF((($A21+$F$9)/(Assumptions!$B$11*12*Assumptions!$C$29))&lt;10000,ROUNDUP((($A21+$F$9)/(Assumptions!$B$11*12*Assumptions!$C$29)),0),ROUNDUP((($A21+$F$10)/(Assumptions!$B$11*12*Assumptions!$C$29)),0))))),"n/a")</f>
        <v>873</v>
      </c>
      <c r="E21" s="31" t="n">
        <f aca="false">IFERROR(IF((($A21+$F$6)/(Assumptions!$B$12*12*Assumptions!$C$29))&lt;200,ROUNDUP((($A21+$F$6)/(Assumptions!$B$12*12*Assumptions!$C$29)),0),IF((($A21+$F$7)/(Assumptions!$B$12*12*Assumptions!$C$29))&lt;1000,ROUNDUP((($A21+$F$7)/(Assumptions!$B$12*12*Assumptions!$C$29)),0),IF((($A21+$F$8)/(Assumptions!$B$12*12*Assumptions!$C$29))&lt;2000,ROUNDUP((($A21+$F$8)/(Assumptions!$B$12*12*Assumptions!$C$29)),0),IF((($A21+$F$9)/(Assumptions!$B$12*12*Assumptions!$C$29))&lt;10000,ROUNDUP((($A21+$F$9)/(Assumptions!$B$12*12*Assumptions!$C$29)),0),ROUNDUP((($A21+$F$10)/(Assumptions!$B$12*12*Assumptions!$C$29)),0))))),"n/a")</f>
        <v>123</v>
      </c>
    </row>
    <row r="22" customFormat="false" ht="15" hidden="false" customHeight="true" outlineLevel="0" collapsed="false">
      <c r="A22" s="35" t="n">
        <f aca="false">$B$13</f>
        <v>100000</v>
      </c>
      <c r="B22" s="34" t="n">
        <f aca="false">Assumptions!$B$30</f>
        <v>0.09</v>
      </c>
      <c r="C22" s="15" t="n">
        <f aca="false">IFERROR(IF((($A22+$F$6)/(Assumptions!$B$10*12*Assumptions!$C$30))&lt;200,ROUNDUP((($A22+$F$6)/(Assumptions!$B$10*12*Assumptions!$C$30)),0),IF((($A22+$F$7)/(Assumptions!$B$10*12*Assumptions!$C$30))&lt;1000,ROUNDUP((($A22+$F$7)/(Assumptions!$B$10*12*Assumptions!$C$30)),0),IF((($A22+$F$8)/(Assumptions!$B$10*12*Assumptions!$C$30))&lt;2000,ROUNDUP((($A22+$F$8)/(Assumptions!$B$10*12*Assumptions!$C$30)),0),IF((($A22+$F$9)/(Assumptions!$B$10*12*Assumptions!$C$30))&lt;10000,ROUNDUP((($A22+$F$9)/(Assumptions!$B$10*12*Assumptions!$C$30)),0),ROUNDUP((($A22+$F$10)/(Assumptions!$B$10*12*Assumptions!$C$30)),0))))),"n/a")</f>
        <v>4493</v>
      </c>
      <c r="D22" s="15" t="n">
        <f aca="false">IFERROR(IF((($A22+$F$6)/(Assumptions!$B$11*12*Assumptions!$C$30))&lt;200,ROUNDUP((($A22+$F$6)/(Assumptions!$B$11*12*Assumptions!$C$30)),0),IF((($A22+$F$7)/(Assumptions!$B$11*12*Assumptions!$C$30))&lt;1000,ROUNDUP((($A22+$F$7)/(Assumptions!$B$11*12*Assumptions!$C$30)),0),IF((($A22+$F$8)/(Assumptions!$B$11*12*Assumptions!$C$30))&lt;2000,ROUNDUP((($A22+$F$8)/(Assumptions!$B$11*12*Assumptions!$C$30)),0),IF((($A22+$F$9)/(Assumptions!$B$11*12*Assumptions!$C$30))&lt;10000,ROUNDUP((($A22+$F$9)/(Assumptions!$B$11*12*Assumptions!$C$30)),0),ROUNDUP((($A22+$F$10)/(Assumptions!$B$11*12*Assumptions!$C$30)),0))))),"n/a")</f>
        <v>679</v>
      </c>
      <c r="E22" s="15" t="n">
        <f aca="false">IFERROR(IF((($A22+$F$6)/(Assumptions!$B$12*12*Assumptions!$C$30))&lt;200,ROUNDUP((($A22+$F$6)/(Assumptions!$B$12*12*Assumptions!$C$30)),0),IF((($A22+$F$7)/(Assumptions!$B$12*12*Assumptions!$C$30))&lt;1000,ROUNDUP((($A22+$F$7)/(Assumptions!$B$12*12*Assumptions!$C$30)),0),IF((($A22+$F$8)/(Assumptions!$B$12*12*Assumptions!$C$30))&lt;2000,ROUNDUP((($A22+$F$8)/(Assumptions!$B$12*12*Assumptions!$C$30)),0),IF((($A22+$F$9)/(Assumptions!$B$12*12*Assumptions!$C$30))&lt;10000,ROUNDUP((($A22+$F$9)/(Assumptions!$B$12*12*Assumptions!$C$30)),0),ROUNDUP((($A22+$F$10)/(Assumptions!$B$12*12*Assumptions!$C$30)),0))))),"n/a")</f>
        <v>96</v>
      </c>
    </row>
    <row r="23" customFormat="false" ht="15" hidden="false" customHeight="true" outlineLevel="0" collapsed="false">
      <c r="A23" s="29" t="n">
        <f aca="false">$B$14</f>
        <v>300000</v>
      </c>
      <c r="B23" s="28" t="n">
        <f aca="false">Assumptions!$B$27</f>
        <v>0.06</v>
      </c>
      <c r="C23" s="31" t="n">
        <f aca="false">IFERROR(IF((($A23+$F$6)/(Assumptions!$B$10*12*Assumptions!$C$27))&lt;200,ROUNDUP((($A23+$F$6)/(Assumptions!$B$10*12*Assumptions!$C$27)),0),IF((($A23+$F$7)/(Assumptions!$B$10*12*Assumptions!$C$27))&lt;1000,ROUNDUP((($A23+$F$7)/(Assumptions!$B$10*12*Assumptions!$C$27)),0),IF((($A23+$F$8)/(Assumptions!$B$10*12*Assumptions!$C$27))&lt;2000,ROUNDUP((($A23+$F$8)/(Assumptions!$B$10*12*Assumptions!$C$27)),0),IF((($A23+$F$9)/(Assumptions!$B$10*12*Assumptions!$C$27))&lt;10000,ROUNDUP((($A23+$F$9)/(Assumptions!$B$10*12*Assumptions!$C$27)),0),ROUNDUP((($A23+$F$10)/(Assumptions!$B$10*12*Assumptions!$C$27)),0))))),"n/a")</f>
        <v>27863</v>
      </c>
      <c r="D23" s="31" t="n">
        <f aca="false">IFERROR(IF((($A23+$F$6)/(Assumptions!$B$11*12*Assumptions!$C$27))&lt;200,ROUNDUP((($A23+$F$6)/(Assumptions!$B$11*12*Assumptions!$C$27)),0),IF((($A23+$F$7)/(Assumptions!$B$11*12*Assumptions!$C$27))&lt;1000,ROUNDUP((($A23+$F$7)/(Assumptions!$B$11*12*Assumptions!$C$27)),0),IF((($A23+$F$8)/(Assumptions!$B$11*12*Assumptions!$C$27))&lt;2000,ROUNDUP((($A23+$F$8)/(Assumptions!$B$11*12*Assumptions!$C$27)),0),IF((($A23+$F$9)/(Assumptions!$B$11*12*Assumptions!$C$27))&lt;10000,ROUNDUP((($A23+$F$9)/(Assumptions!$B$11*12*Assumptions!$C$27)),0),ROUNDUP((($A23+$F$10)/(Assumptions!$B$11*12*Assumptions!$C$27)),0))))),"n/a")</f>
        <v>5188</v>
      </c>
      <c r="E23" s="31" t="n">
        <f aca="false">IFERROR(IF((($A23+$F$6)/(Assumptions!$B$12*12*Assumptions!$C$27))&lt;200,ROUNDUP((($A23+$F$6)/(Assumptions!$B$12*12*Assumptions!$C$27)),0),IF((($A23+$F$7)/(Assumptions!$B$12*12*Assumptions!$C$27))&lt;1000,ROUNDUP((($A23+$F$7)/(Assumptions!$B$12*12*Assumptions!$C$27)),0),IF((($A23+$F$8)/(Assumptions!$B$12*12*Assumptions!$C$27))&lt;2000,ROUNDUP((($A23+$F$8)/(Assumptions!$B$12*12*Assumptions!$C$27)),0),IF((($A23+$F$9)/(Assumptions!$B$12*12*Assumptions!$C$27))&lt;10000,ROUNDUP((($A23+$F$9)/(Assumptions!$B$12*12*Assumptions!$C$27)),0),ROUNDUP((($A23+$F$10)/(Assumptions!$B$12*12*Assumptions!$C$27)),0))))),"n/a")</f>
        <v>1075</v>
      </c>
    </row>
    <row r="24" customFormat="false" ht="15" hidden="false" customHeight="true" outlineLevel="0" collapsed="false">
      <c r="A24" s="35" t="n">
        <f aca="false">$B$14</f>
        <v>300000</v>
      </c>
      <c r="B24" s="34" t="n">
        <f aca="false">Assumptions!$B$28</f>
        <v>0.07</v>
      </c>
      <c r="C24" s="15" t="n">
        <f aca="false">IFERROR(IF((($A24+$F$6)/(Assumptions!$B$10*12*Assumptions!$C$28))&lt;200,ROUNDUP((($A24+$F$6)/(Assumptions!$B$10*12*Assumptions!$C$28)),0),IF((($A24+$F$7)/(Assumptions!$B$10*12*Assumptions!$C$28))&lt;1000,ROUNDUP((($A24+$F$7)/(Assumptions!$B$10*12*Assumptions!$C$28)),0),IF((($A24+$F$8)/(Assumptions!$B$10*12*Assumptions!$C$28))&lt;2000,ROUNDUP((($A24+$F$8)/(Assumptions!$B$10*12*Assumptions!$C$28)),0),IF((($A24+$F$9)/(Assumptions!$B$10*12*Assumptions!$C$28))&lt;10000,ROUNDUP((($A24+$F$9)/(Assumptions!$B$10*12*Assumptions!$C$28)),0),ROUNDUP((($A24+$F$10)/(Assumptions!$B$10*12*Assumptions!$C$28)),0))))),"n/a")</f>
        <v>16718</v>
      </c>
      <c r="D24" s="15" t="n">
        <f aca="false">IFERROR(IF((($A24+$F$6)/(Assumptions!$B$11*12*Assumptions!$C$28))&lt;200,ROUNDUP((($A24+$F$6)/(Assumptions!$B$11*12*Assumptions!$C$28)),0),IF((($A24+$F$7)/(Assumptions!$B$11*12*Assumptions!$C$28))&lt;1000,ROUNDUP((($A24+$F$7)/(Assumptions!$B$11*12*Assumptions!$C$28)),0),IF((($A24+$F$8)/(Assumptions!$B$11*12*Assumptions!$C$28))&lt;2000,ROUNDUP((($A24+$F$8)/(Assumptions!$B$11*12*Assumptions!$C$28)),0),IF((($A24+$F$9)/(Assumptions!$B$11*12*Assumptions!$C$28))&lt;10000,ROUNDUP((($A24+$F$9)/(Assumptions!$B$11*12*Assumptions!$C$28)),0),ROUNDUP((($A24+$F$10)/(Assumptions!$B$11*12*Assumptions!$C$28)),0))))),"n/a")</f>
        <v>3113</v>
      </c>
      <c r="E24" s="15" t="n">
        <f aca="false">IFERROR(IF((($A24+$F$6)/(Assumptions!$B$12*12*Assumptions!$C$28))&lt;200,ROUNDUP((($A24+$F$6)/(Assumptions!$B$12*12*Assumptions!$C$28)),0),IF((($A24+$F$7)/(Assumptions!$B$12*12*Assumptions!$C$28))&lt;1000,ROUNDUP((($A24+$F$7)/(Assumptions!$B$12*12*Assumptions!$C$28)),0),IF((($A24+$F$8)/(Assumptions!$B$12*12*Assumptions!$C$28))&lt;2000,ROUNDUP((($A24+$F$8)/(Assumptions!$B$12*12*Assumptions!$C$28)),0),IF((($A24+$F$9)/(Assumptions!$B$12*12*Assumptions!$C$28))&lt;10000,ROUNDUP((($A24+$F$9)/(Assumptions!$B$12*12*Assumptions!$C$28)),0),ROUNDUP((($A24+$F$10)/(Assumptions!$B$12*12*Assumptions!$C$28)),0))))),"n/a")</f>
        <v>639</v>
      </c>
    </row>
    <row r="25" customFormat="false" ht="15" hidden="false" customHeight="true" outlineLevel="0" collapsed="false">
      <c r="A25" s="29" t="n">
        <f aca="false">$B$14</f>
        <v>300000</v>
      </c>
      <c r="B25" s="28" t="n">
        <f aca="false">Assumptions!$B$29</f>
        <v>0.08</v>
      </c>
      <c r="C25" s="31" t="n">
        <f aca="false">IFERROR(IF((($A25+$F$6)/(Assumptions!$B$10*12*Assumptions!$C$29))&lt;200,ROUNDUP((($A25+$F$6)/(Assumptions!$B$10*12*Assumptions!$C$29)),0),IF((($A25+$F$7)/(Assumptions!$B$10*12*Assumptions!$C$29))&lt;1000,ROUNDUP((($A25+$F$7)/(Assumptions!$B$10*12*Assumptions!$C$29)),0),IF((($A25+$F$8)/(Assumptions!$B$10*12*Assumptions!$C$29))&lt;2000,ROUNDUP((($A25+$F$8)/(Assumptions!$B$10*12*Assumptions!$C$29)),0),IF((($A25+$F$9)/(Assumptions!$B$10*12*Assumptions!$C$29))&lt;10000,ROUNDUP((($A25+$F$9)/(Assumptions!$B$10*12*Assumptions!$C$29)),0),ROUNDUP((($A25+$F$10)/(Assumptions!$B$10*12*Assumptions!$C$29)),0))))),"n/a")</f>
        <v>11941</v>
      </c>
      <c r="D25" s="31" t="n">
        <f aca="false">IFERROR(IF((($A25+$F$6)/(Assumptions!$B$11*12*Assumptions!$C$29))&lt;200,ROUNDUP((($A25+$F$6)/(Assumptions!$B$11*12*Assumptions!$C$29)),0),IF((($A25+$F$7)/(Assumptions!$B$11*12*Assumptions!$C$29))&lt;1000,ROUNDUP((($A25+$F$7)/(Assumptions!$B$11*12*Assumptions!$C$29)),0),IF((($A25+$F$8)/(Assumptions!$B$11*12*Assumptions!$C$29))&lt;2000,ROUNDUP((($A25+$F$8)/(Assumptions!$B$11*12*Assumptions!$C$29)),0),IF((($A25+$F$9)/(Assumptions!$B$11*12*Assumptions!$C$29))&lt;10000,ROUNDUP((($A25+$F$9)/(Assumptions!$B$11*12*Assumptions!$C$29)),0),ROUNDUP((($A25+$F$10)/(Assumptions!$B$11*12*Assumptions!$C$29)),0))))),"n/a")</f>
        <v>1843</v>
      </c>
      <c r="E25" s="31" t="n">
        <f aca="false">IFERROR(IF((($A25+$F$6)/(Assumptions!$B$12*12*Assumptions!$C$29))&lt;200,ROUNDUP((($A25+$F$6)/(Assumptions!$B$12*12*Assumptions!$C$29)),0),IF((($A25+$F$7)/(Assumptions!$B$12*12*Assumptions!$C$29))&lt;1000,ROUNDUP((($A25+$F$7)/(Assumptions!$B$12*12*Assumptions!$C$29)),0),IF((($A25+$F$8)/(Assumptions!$B$12*12*Assumptions!$C$29))&lt;2000,ROUNDUP((($A25+$F$8)/(Assumptions!$B$12*12*Assumptions!$C$29)),0),IF((($A25+$F$9)/(Assumptions!$B$12*12*Assumptions!$C$29))&lt;10000,ROUNDUP((($A25+$F$9)/(Assumptions!$B$12*12*Assumptions!$C$29)),0),ROUNDUP((($A25+$F$10)/(Assumptions!$B$12*12*Assumptions!$C$29)),0))))),"n/a")</f>
        <v>457</v>
      </c>
    </row>
    <row r="26" customFormat="false" ht="15" hidden="false" customHeight="true" outlineLevel="0" collapsed="false">
      <c r="A26" s="35" t="n">
        <f aca="false">$B$14</f>
        <v>300000</v>
      </c>
      <c r="B26" s="34" t="n">
        <f aca="false">Assumptions!$B$30</f>
        <v>0.09</v>
      </c>
      <c r="C26" s="15" t="n">
        <f aca="false">IFERROR(IF((($A26+$F$6)/(Assumptions!$B$10*12*Assumptions!$C$30))&lt;200,ROUNDUP((($A26+$F$6)/(Assumptions!$B$10*12*Assumptions!$C$30)),0),IF((($A26+$F$7)/(Assumptions!$B$10*12*Assumptions!$C$30))&lt;1000,ROUNDUP((($A26+$F$7)/(Assumptions!$B$10*12*Assumptions!$C$30)),0),IF((($A26+$F$8)/(Assumptions!$B$10*12*Assumptions!$C$30))&lt;2000,ROUNDUP((($A26+$F$8)/(Assumptions!$B$10*12*Assumptions!$C$30)),0),IF((($A26+$F$9)/(Assumptions!$B$10*12*Assumptions!$C$30))&lt;10000,ROUNDUP((($A26+$F$9)/(Assumptions!$B$10*12*Assumptions!$C$30)),0),ROUNDUP((($A26+$F$10)/(Assumptions!$B$10*12*Assumptions!$C$30)),0))))),"n/a")</f>
        <v>7860</v>
      </c>
      <c r="D26" s="15" t="n">
        <f aca="false">IFERROR(IF((($A26+$F$6)/(Assumptions!$B$11*12*Assumptions!$C$30))&lt;200,ROUNDUP((($A26+$F$6)/(Assumptions!$B$11*12*Assumptions!$C$30)),0),IF((($A26+$F$7)/(Assumptions!$B$11*12*Assumptions!$C$30))&lt;1000,ROUNDUP((($A26+$F$7)/(Assumptions!$B$11*12*Assumptions!$C$30)),0),IF((($A26+$F$8)/(Assumptions!$B$11*12*Assumptions!$C$30))&lt;2000,ROUNDUP((($A26+$F$8)/(Assumptions!$B$11*12*Assumptions!$C$30)),0),IF((($A26+$F$9)/(Assumptions!$B$11*12*Assumptions!$C$30))&lt;10000,ROUNDUP((($A26+$F$9)/(Assumptions!$B$11*12*Assumptions!$C$30)),0),ROUNDUP((($A26+$F$10)/(Assumptions!$B$11*12*Assumptions!$C$30)),0))))),"n/a")</f>
        <v>1433</v>
      </c>
      <c r="E26" s="15" t="n">
        <f aca="false">IFERROR(IF((($A26+$F$6)/(Assumptions!$B$12*12*Assumptions!$C$30))&lt;200,ROUNDUP((($A26+$F$6)/(Assumptions!$B$12*12*Assumptions!$C$30)),0),IF((($A26+$F$7)/(Assumptions!$B$12*12*Assumptions!$C$30))&lt;1000,ROUNDUP((($A26+$F$7)/(Assumptions!$B$12*12*Assumptions!$C$30)),0),IF((($A26+$F$8)/(Assumptions!$B$12*12*Assumptions!$C$30))&lt;2000,ROUNDUP((($A26+$F$8)/(Assumptions!$B$12*12*Assumptions!$C$30)),0),IF((($A26+$F$9)/(Assumptions!$B$12*12*Assumptions!$C$30))&lt;10000,ROUNDUP((($A26+$F$9)/(Assumptions!$B$12*12*Assumptions!$C$30)),0),ROUNDUP((($A26+$F$10)/(Assumptions!$B$12*12*Assumptions!$C$30)),0))))),"n/a")</f>
        <v>355</v>
      </c>
    </row>
    <row r="27" customFormat="false" ht="15" hidden="false" customHeight="true" outlineLevel="0" collapsed="false">
      <c r="A27" s="29" t="n">
        <f aca="false">$B$15</f>
        <v>500000</v>
      </c>
      <c r="B27" s="28" t="n">
        <f aca="false">Assumptions!$B$27</f>
        <v>0.06</v>
      </c>
      <c r="C27" s="31" t="n">
        <f aca="false">IFERROR(IF((($A27+$F$6)/(Assumptions!$B$10*12*Assumptions!$C$27))&lt;200,ROUNDUP((($A27+$F$6)/(Assumptions!$B$10*12*Assumptions!$C$27)),0),IF((($A27+$F$7)/(Assumptions!$B$10*12*Assumptions!$C$27))&lt;1000,ROUNDUP((($A27+$F$7)/(Assumptions!$B$10*12*Assumptions!$C$27)),0),IF((($A27+$F$8)/(Assumptions!$B$10*12*Assumptions!$C$27))&lt;2000,ROUNDUP((($A27+$F$8)/(Assumptions!$B$10*12*Assumptions!$C$27)),0),IF((($A27+$F$9)/(Assumptions!$B$10*12*Assumptions!$C$27))&lt;10000,ROUNDUP((($A27+$F$9)/(Assumptions!$B$10*12*Assumptions!$C$27)),0),ROUNDUP((($A27+$F$10)/(Assumptions!$B$10*12*Assumptions!$C$27)),0))))),"n/a")</f>
        <v>37964</v>
      </c>
      <c r="D27" s="31" t="n">
        <f aca="false">IFERROR(IF((($A27+$F$6)/(Assumptions!$B$11*12*Assumptions!$C$27))&lt;200,ROUNDUP((($A27+$F$6)/(Assumptions!$B$11*12*Assumptions!$C$27)),0),IF((($A27+$F$7)/(Assumptions!$B$11*12*Assumptions!$C$27))&lt;1000,ROUNDUP((($A27+$F$7)/(Assumptions!$B$11*12*Assumptions!$C$27)),0),IF((($A27+$F$8)/(Assumptions!$B$11*12*Assumptions!$C$27))&lt;2000,ROUNDUP((($A27+$F$8)/(Assumptions!$B$11*12*Assumptions!$C$27)),0),IF((($A27+$F$9)/(Assumptions!$B$11*12*Assumptions!$C$27))&lt;10000,ROUNDUP((($A27+$F$9)/(Assumptions!$B$11*12*Assumptions!$C$27)),0),ROUNDUP((($A27+$F$10)/(Assumptions!$B$11*12*Assumptions!$C$27)),0))))),"n/a")</f>
        <v>7410</v>
      </c>
      <c r="E27" s="31" t="n">
        <f aca="false">IFERROR(IF((($A27+$F$6)/(Assumptions!$B$12*12*Assumptions!$C$27))&lt;200,ROUNDUP((($A27+$F$6)/(Assumptions!$B$12*12*Assumptions!$C$27)),0),IF((($A27+$F$7)/(Assumptions!$B$12*12*Assumptions!$C$27))&lt;1000,ROUNDUP((($A27+$F$7)/(Assumptions!$B$12*12*Assumptions!$C$27)),0),IF((($A27+$F$8)/(Assumptions!$B$12*12*Assumptions!$C$27))&lt;2000,ROUNDUP((($A27+$F$8)/(Assumptions!$B$12*12*Assumptions!$C$27)),0),IF((($A27+$F$9)/(Assumptions!$B$12*12*Assumptions!$C$27))&lt;10000,ROUNDUP((($A27+$F$9)/(Assumptions!$B$12*12*Assumptions!$C$27)),0),ROUNDUP((($A27+$F$10)/(Assumptions!$B$12*12*Assumptions!$C$27)),0))))),"n/a")</f>
        <v>1631</v>
      </c>
    </row>
    <row r="28" customFormat="false" ht="15" hidden="false" customHeight="true" outlineLevel="0" collapsed="false">
      <c r="A28" s="35" t="n">
        <f aca="false">$B$15</f>
        <v>500000</v>
      </c>
      <c r="B28" s="34" t="n">
        <f aca="false">Assumptions!$B$28</f>
        <v>0.07</v>
      </c>
      <c r="C28" s="15" t="n">
        <f aca="false">IFERROR(IF((($A28+$F$6)/(Assumptions!$B$10*12*Assumptions!$C$28))&lt;200,ROUNDUP((($A28+$F$6)/(Assumptions!$B$10*12*Assumptions!$C$28)),0),IF((($A28+$F$7)/(Assumptions!$B$10*12*Assumptions!$C$28))&lt;1000,ROUNDUP((($A28+$F$7)/(Assumptions!$B$10*12*Assumptions!$C$28)),0),IF((($A28+$F$8)/(Assumptions!$B$10*12*Assumptions!$C$28))&lt;2000,ROUNDUP((($A28+$F$8)/(Assumptions!$B$10*12*Assumptions!$C$28)),0),IF((($A28+$F$9)/(Assumptions!$B$10*12*Assumptions!$C$28))&lt;10000,ROUNDUP((($A28+$F$9)/(Assumptions!$B$10*12*Assumptions!$C$28)),0),ROUNDUP((($A28+$F$10)/(Assumptions!$B$10*12*Assumptions!$C$28)),0))))),"n/a")</f>
        <v>22778</v>
      </c>
      <c r="D28" s="15" t="n">
        <f aca="false">IFERROR(IF((($A28+$F$6)/(Assumptions!$B$11*12*Assumptions!$C$28))&lt;200,ROUNDUP((($A28+$F$6)/(Assumptions!$B$11*12*Assumptions!$C$28)),0),IF((($A28+$F$7)/(Assumptions!$B$11*12*Assumptions!$C$28))&lt;1000,ROUNDUP((($A28+$F$7)/(Assumptions!$B$11*12*Assumptions!$C$28)),0),IF((($A28+$F$8)/(Assumptions!$B$11*12*Assumptions!$C$28))&lt;2000,ROUNDUP((($A28+$F$8)/(Assumptions!$B$11*12*Assumptions!$C$28)),0),IF((($A28+$F$9)/(Assumptions!$B$11*12*Assumptions!$C$28))&lt;10000,ROUNDUP((($A28+$F$9)/(Assumptions!$B$11*12*Assumptions!$C$28)),0),ROUNDUP((($A28+$F$10)/(Assumptions!$B$11*12*Assumptions!$C$28)),0))))),"n/a")</f>
        <v>4446</v>
      </c>
      <c r="E28" s="15" t="n">
        <f aca="false">IFERROR(IF((($A28+$F$6)/(Assumptions!$B$12*12*Assumptions!$C$28))&lt;200,ROUNDUP((($A28+$F$6)/(Assumptions!$B$12*12*Assumptions!$C$28)),0),IF((($A28+$F$7)/(Assumptions!$B$12*12*Assumptions!$C$28))&lt;1000,ROUNDUP((($A28+$F$7)/(Assumptions!$B$12*12*Assumptions!$C$28)),0),IF((($A28+$F$8)/(Assumptions!$B$12*12*Assumptions!$C$28))&lt;2000,ROUNDUP((($A28+$F$8)/(Assumptions!$B$12*12*Assumptions!$C$28)),0),IF((($A28+$F$9)/(Assumptions!$B$12*12*Assumptions!$C$28))&lt;10000,ROUNDUP((($A28+$F$9)/(Assumptions!$B$12*12*Assumptions!$C$28)),0),ROUNDUP((($A28+$F$10)/(Assumptions!$B$12*12*Assumptions!$C$28)),0))))),"n/a")</f>
        <v>972</v>
      </c>
    </row>
    <row r="29" customFormat="false" ht="15" hidden="false" customHeight="true" outlineLevel="0" collapsed="false">
      <c r="A29" s="29" t="n">
        <f aca="false">$B$15</f>
        <v>500000</v>
      </c>
      <c r="B29" s="28" t="n">
        <f aca="false">Assumptions!$B$29</f>
        <v>0.08</v>
      </c>
      <c r="C29" s="31" t="n">
        <f aca="false">IFERROR(IF((($A29+$F$6)/(Assumptions!$B$10*12*Assumptions!$C$29))&lt;200,ROUNDUP((($A29+$F$6)/(Assumptions!$B$10*12*Assumptions!$C$29)),0),IF((($A29+$F$7)/(Assumptions!$B$10*12*Assumptions!$C$29))&lt;1000,ROUNDUP((($A29+$F$7)/(Assumptions!$B$10*12*Assumptions!$C$29)),0),IF((($A29+$F$8)/(Assumptions!$B$10*12*Assumptions!$C$29))&lt;2000,ROUNDUP((($A29+$F$8)/(Assumptions!$B$10*12*Assumptions!$C$29)),0),IF((($A29+$F$9)/(Assumptions!$B$10*12*Assumptions!$C$29))&lt;10000,ROUNDUP((($A29+$F$9)/(Assumptions!$B$10*12*Assumptions!$C$29)),0),ROUNDUP((($A29+$F$10)/(Assumptions!$B$10*12*Assumptions!$C$29)),0))))),"n/a")</f>
        <v>16270</v>
      </c>
      <c r="D29" s="31" t="n">
        <f aca="false">IFERROR(IF((($A29+$F$6)/(Assumptions!$B$11*12*Assumptions!$C$29))&lt;200,ROUNDUP((($A29+$F$6)/(Assumptions!$B$11*12*Assumptions!$C$29)),0),IF((($A29+$F$7)/(Assumptions!$B$11*12*Assumptions!$C$29))&lt;1000,ROUNDUP((($A29+$F$7)/(Assumptions!$B$11*12*Assumptions!$C$29)),0),IF((($A29+$F$8)/(Assumptions!$B$11*12*Assumptions!$C$29))&lt;2000,ROUNDUP((($A29+$F$8)/(Assumptions!$B$11*12*Assumptions!$C$29)),0),IF((($A29+$F$9)/(Assumptions!$B$11*12*Assumptions!$C$29))&lt;10000,ROUNDUP((($A29+$F$9)/(Assumptions!$B$11*12*Assumptions!$C$29)),0),ROUNDUP((($A29+$F$10)/(Assumptions!$B$11*12*Assumptions!$C$29)),0))))),"n/a")</f>
        <v>3176</v>
      </c>
      <c r="E29" s="31" t="n">
        <f aca="false">IFERROR(IF((($A29+$F$6)/(Assumptions!$B$12*12*Assumptions!$C$29))&lt;200,ROUNDUP((($A29+$F$6)/(Assumptions!$B$12*12*Assumptions!$C$29)),0),IF((($A29+$F$7)/(Assumptions!$B$12*12*Assumptions!$C$29))&lt;1000,ROUNDUP((($A29+$F$7)/(Assumptions!$B$12*12*Assumptions!$C$29)),0),IF((($A29+$F$8)/(Assumptions!$B$12*12*Assumptions!$C$29))&lt;2000,ROUNDUP((($A29+$F$8)/(Assumptions!$B$12*12*Assumptions!$C$29)),0),IF((($A29+$F$9)/(Assumptions!$B$12*12*Assumptions!$C$29))&lt;10000,ROUNDUP((($A29+$F$9)/(Assumptions!$B$12*12*Assumptions!$C$29)),0),ROUNDUP((($A29+$F$10)/(Assumptions!$B$12*12*Assumptions!$C$29)),0))))),"n/a")</f>
        <v>695</v>
      </c>
    </row>
    <row r="30" customFormat="false" ht="15" hidden="false" customHeight="true" outlineLevel="0" collapsed="false">
      <c r="A30" s="35" t="n">
        <f aca="false">$B$15</f>
        <v>500000</v>
      </c>
      <c r="B30" s="34" t="n">
        <f aca="false">Assumptions!$B$30</f>
        <v>0.09</v>
      </c>
      <c r="C30" s="15" t="n">
        <f aca="false">IFERROR(IF((($A30+$F$6)/(Assumptions!$B$10*12*Assumptions!$C$30))&lt;200,ROUNDUP((($A30+$F$6)/(Assumptions!$B$10*12*Assumptions!$C$30)),0),IF((($A30+$F$7)/(Assumptions!$B$10*12*Assumptions!$C$30))&lt;1000,ROUNDUP((($A30+$F$7)/(Assumptions!$B$10*12*Assumptions!$C$30)),0),IF((($A30+$F$8)/(Assumptions!$B$10*12*Assumptions!$C$30))&lt;2000,ROUNDUP((($A30+$F$8)/(Assumptions!$B$10*12*Assumptions!$C$30)),0),IF((($A30+$F$9)/(Assumptions!$B$10*12*Assumptions!$C$30))&lt;10000,ROUNDUP((($A30+$F$9)/(Assumptions!$B$10*12*Assumptions!$C$30)),0),ROUNDUP((($A30+$F$10)/(Assumptions!$B$10*12*Assumptions!$C$30)),0))))),"n/a")</f>
        <v>12655</v>
      </c>
      <c r="D30" s="15" t="n">
        <f aca="false">IFERROR(IF((($A30+$F$6)/(Assumptions!$B$11*12*Assumptions!$C$30))&lt;200,ROUNDUP((($A30+$F$6)/(Assumptions!$B$11*12*Assumptions!$C$30)),0),IF((($A30+$F$7)/(Assumptions!$B$11*12*Assumptions!$C$30))&lt;1000,ROUNDUP((($A30+$F$7)/(Assumptions!$B$11*12*Assumptions!$C$30)),0),IF((($A30+$F$8)/(Assumptions!$B$11*12*Assumptions!$C$30))&lt;2000,ROUNDUP((($A30+$F$8)/(Assumptions!$B$11*12*Assumptions!$C$30)),0),IF((($A30+$F$9)/(Assumptions!$B$11*12*Assumptions!$C$30))&lt;10000,ROUNDUP((($A30+$F$9)/(Assumptions!$B$11*12*Assumptions!$C$30)),0),ROUNDUP((($A30+$F$10)/(Assumptions!$B$11*12*Assumptions!$C$30)),0))))),"n/a")</f>
        <v>2470</v>
      </c>
      <c r="E30" s="15" t="n">
        <f aca="false">IFERROR(IF((($A30+$F$6)/(Assumptions!$B$12*12*Assumptions!$C$30))&lt;200,ROUNDUP((($A30+$F$6)/(Assumptions!$B$12*12*Assumptions!$C$30)),0),IF((($A30+$F$7)/(Assumptions!$B$12*12*Assumptions!$C$30))&lt;1000,ROUNDUP((($A30+$F$7)/(Assumptions!$B$12*12*Assumptions!$C$30)),0),IF((($A30+$F$8)/(Assumptions!$B$12*12*Assumptions!$C$30))&lt;2000,ROUNDUP((($A30+$F$8)/(Assumptions!$B$12*12*Assumptions!$C$30)),0),IF((($A30+$F$9)/(Assumptions!$B$12*12*Assumptions!$C$30))&lt;10000,ROUNDUP((($A30+$F$9)/(Assumptions!$B$12*12*Assumptions!$C$30)),0),ROUNDUP((($A30+$F$10)/(Assumptions!$B$12*12*Assumptions!$C$30)),0))))),"n/a")</f>
        <v>540</v>
      </c>
    </row>
    <row r="32" customFormat="false" ht="15" hidden="false" customHeight="true" outlineLevel="0" collapsed="false">
      <c r="A32" s="3" t="s">
        <v>177</v>
      </c>
    </row>
    <row r="35" customFormat="false" ht="15" hidden="false" customHeight="true" outlineLevel="0" collapsed="false">
      <c r="A35" s="16" t="s">
        <v>178</v>
      </c>
    </row>
    <row r="36" customFormat="false" ht="15" hidden="false" customHeight="true" outlineLevel="0" collapsed="false">
      <c r="A36" s="8" t="s">
        <v>173</v>
      </c>
      <c r="B36" s="8" t="s">
        <v>40</v>
      </c>
      <c r="C36" s="8" t="s">
        <v>179</v>
      </c>
      <c r="D36" s="8" t="s">
        <v>180</v>
      </c>
      <c r="E36" s="8" t="s">
        <v>181</v>
      </c>
      <c r="F36" s="8" t="s">
        <v>182</v>
      </c>
    </row>
    <row r="37" customFormat="false" ht="15" hidden="false" customHeight="true" outlineLevel="0" collapsed="false">
      <c r="A37" s="29" t="n">
        <f aca="false">$B$13</f>
        <v>100000</v>
      </c>
      <c r="B37" s="28" t="n">
        <f aca="false">Assumptions!$B$27</f>
        <v>0.06</v>
      </c>
      <c r="C37" s="27" t="n">
        <f aca="false">IFERROR(($A37+$F$6)/(Assumptions!$B$33*12*Assumptions!$C$27),0)</f>
        <v>57299.2888888889</v>
      </c>
      <c r="D37" s="27" t="n">
        <f aca="false">IFERROR(($A37+$F$6)/(Assumptions!$B$34*12*Assumptions!$C$27),0)</f>
        <v>5729.92888888889</v>
      </c>
      <c r="E37" s="27" t="n">
        <f aca="false">IFERROR(($A37+$F$8)/(Assumptions!$B$35*12*Assumptions!$C$27),0)</f>
        <v>1038.17066666667</v>
      </c>
      <c r="F37" s="27" t="n">
        <f aca="false">IFERROR(($A37+$F$10)/(Assumptions!$B$36*12*Assumptions!$C$27),0)</f>
        <v>195.372622222222</v>
      </c>
    </row>
    <row r="38" customFormat="false" ht="15" hidden="false" customHeight="true" outlineLevel="0" collapsed="false">
      <c r="A38" s="35" t="n">
        <f aca="false">$B$13</f>
        <v>100000</v>
      </c>
      <c r="B38" s="34" t="n">
        <f aca="false">Assumptions!$B$28</f>
        <v>0.07</v>
      </c>
      <c r="C38" s="33" t="n">
        <f aca="false">IFERROR(($A38+$F$6)/(Assumptions!$B$33*12*Assumptions!$C$28),0)</f>
        <v>34379.5733333333</v>
      </c>
      <c r="D38" s="33" t="n">
        <f aca="false">IFERROR(($A38+$F$6)/(Assumptions!$B$34*12*Assumptions!$C$28),0)</f>
        <v>3437.95733333333</v>
      </c>
      <c r="E38" s="33" t="n">
        <f aca="false">IFERROR(($A38+$F$8)/(Assumptions!$B$35*12*Assumptions!$C$28),0)</f>
        <v>622.9024</v>
      </c>
      <c r="F38" s="33" t="n">
        <f aca="false">IFERROR(($A38+$F$10)/(Assumptions!$B$36*12*Assumptions!$C$28),0)</f>
        <v>117.223573333333</v>
      </c>
    </row>
    <row r="39" customFormat="false" ht="15" hidden="false" customHeight="true" outlineLevel="0" collapsed="false">
      <c r="A39" s="29" t="n">
        <f aca="false">$B$13</f>
        <v>100000</v>
      </c>
      <c r="B39" s="28" t="n">
        <f aca="false">Assumptions!$B$29</f>
        <v>0.08</v>
      </c>
      <c r="C39" s="27" t="n">
        <f aca="false">IFERROR(($A39+$F$6)/(Assumptions!$B$33*12*Assumptions!$C$29),0)</f>
        <v>24556.8380952381</v>
      </c>
      <c r="D39" s="27" t="n">
        <f aca="false">IFERROR(($A39+$F$6)/(Assumptions!$B$34*12*Assumptions!$C$29),0)</f>
        <v>2455.68380952381</v>
      </c>
      <c r="E39" s="27" t="n">
        <f aca="false">IFERROR(($A39+$F$8)/(Assumptions!$B$35*12*Assumptions!$C$29),0)</f>
        <v>444.930285714286</v>
      </c>
      <c r="F39" s="27" t="n">
        <f aca="false">IFERROR(($A39+$F$10)/(Assumptions!$B$36*12*Assumptions!$C$29),0)</f>
        <v>83.7311238095238</v>
      </c>
    </row>
    <row r="40" customFormat="false" ht="15" hidden="false" customHeight="true" outlineLevel="0" collapsed="false">
      <c r="A40" s="35" t="n">
        <f aca="false">$B$13</f>
        <v>100000</v>
      </c>
      <c r="B40" s="34" t="n">
        <f aca="false">Assumptions!$B$30</f>
        <v>0.09</v>
      </c>
      <c r="C40" s="33" t="n">
        <f aca="false">IFERROR(($A40+$F$6)/(Assumptions!$B$33*12*Assumptions!$C$30),0)</f>
        <v>19099.762962963</v>
      </c>
      <c r="D40" s="33" t="n">
        <f aca="false">IFERROR(($A40+$F$6)/(Assumptions!$B$34*12*Assumptions!$C$30),0)</f>
        <v>1909.9762962963</v>
      </c>
      <c r="E40" s="33" t="n">
        <f aca="false">IFERROR(($A40+$F$8)/(Assumptions!$B$35*12*Assumptions!$C$30),0)</f>
        <v>346.056888888889</v>
      </c>
      <c r="F40" s="33" t="n">
        <f aca="false">IFERROR(($A40+$F$10)/(Assumptions!$B$36*12*Assumptions!$C$30),0)</f>
        <v>65.1242074074074</v>
      </c>
    </row>
    <row r="41" customFormat="false" ht="15" hidden="false" customHeight="true" outlineLevel="0" collapsed="false">
      <c r="A41" s="29" t="n">
        <f aca="false">$B$14</f>
        <v>300000</v>
      </c>
      <c r="B41" s="28" t="n">
        <f aca="false">Assumptions!$B$27</f>
        <v>0.06</v>
      </c>
      <c r="C41" s="27" t="n">
        <f aca="false">IFERROR(($A41+$F$6)/(Assumptions!$B$33*12*Assumptions!$C$27),0)</f>
        <v>168410.4</v>
      </c>
      <c r="D41" s="27" t="n">
        <f aca="false">IFERROR(($A41+$F$6)/(Assumptions!$B$34*12*Assumptions!$C$27),0)</f>
        <v>16841.04</v>
      </c>
      <c r="E41" s="27" t="n">
        <f aca="false">IFERROR(($A41+$F$8)/(Assumptions!$B$35*12*Assumptions!$C$27),0)</f>
        <v>2149.28177777778</v>
      </c>
      <c r="F41" s="27" t="n">
        <f aca="false">IFERROR(($A41+$F$10)/(Assumptions!$B$36*12*Assumptions!$C$27),0)</f>
        <v>306.483733333333</v>
      </c>
    </row>
    <row r="42" customFormat="false" ht="15" hidden="false" customHeight="true" outlineLevel="0" collapsed="false">
      <c r="A42" s="35" t="n">
        <f aca="false">$B$14</f>
        <v>300000</v>
      </c>
      <c r="B42" s="34" t="n">
        <f aca="false">Assumptions!$B$28</f>
        <v>0.07</v>
      </c>
      <c r="C42" s="33" t="n">
        <f aca="false">IFERROR(($A42+$F$6)/(Assumptions!$B$33*12*Assumptions!$C$28),0)</f>
        <v>101046.24</v>
      </c>
      <c r="D42" s="33" t="n">
        <f aca="false">IFERROR(($A42+$F$6)/(Assumptions!$B$34*12*Assumptions!$C$28),0)</f>
        <v>10104.624</v>
      </c>
      <c r="E42" s="33" t="n">
        <f aca="false">IFERROR(($A42+$F$8)/(Assumptions!$B$35*12*Assumptions!$C$28),0)</f>
        <v>1289.56906666667</v>
      </c>
      <c r="F42" s="33" t="n">
        <f aca="false">IFERROR(($A42+$F$10)/(Assumptions!$B$36*12*Assumptions!$C$28),0)</f>
        <v>183.89024</v>
      </c>
    </row>
    <row r="43" customFormat="false" ht="15" hidden="false" customHeight="true" outlineLevel="0" collapsed="false">
      <c r="A43" s="29" t="n">
        <f aca="false">$B$14</f>
        <v>300000</v>
      </c>
      <c r="B43" s="28" t="n">
        <f aca="false">Assumptions!$B$29</f>
        <v>0.08</v>
      </c>
      <c r="C43" s="27" t="n">
        <f aca="false">IFERROR(($A43+$F$6)/(Assumptions!$B$33*12*Assumptions!$C$29),0)</f>
        <v>72175.8857142857</v>
      </c>
      <c r="D43" s="27" t="n">
        <f aca="false">IFERROR(($A43+$F$6)/(Assumptions!$B$34*12*Assumptions!$C$29),0)</f>
        <v>7217.58857142857</v>
      </c>
      <c r="E43" s="27" t="n">
        <f aca="false">IFERROR(($A43+$F$8)/(Assumptions!$B$35*12*Assumptions!$C$29),0)</f>
        <v>921.120761904762</v>
      </c>
      <c r="F43" s="27" t="n">
        <f aca="false">IFERROR(($A43+$F$10)/(Assumptions!$B$36*12*Assumptions!$C$29),0)</f>
        <v>131.350171428571</v>
      </c>
    </row>
    <row r="44" customFormat="false" ht="15" hidden="false" customHeight="true" outlineLevel="0" collapsed="false">
      <c r="A44" s="35" t="n">
        <f aca="false">$B$14</f>
        <v>300000</v>
      </c>
      <c r="B44" s="34" t="n">
        <f aca="false">Assumptions!$B$30</f>
        <v>0.09</v>
      </c>
      <c r="C44" s="33" t="n">
        <f aca="false">IFERROR(($A44+$F$6)/(Assumptions!$B$33*12*Assumptions!$C$30),0)</f>
        <v>56136.8</v>
      </c>
      <c r="D44" s="33" t="n">
        <f aca="false">IFERROR(($A44+$F$6)/(Assumptions!$B$34*12*Assumptions!$C$30),0)</f>
        <v>5613.68</v>
      </c>
      <c r="E44" s="33" t="n">
        <f aca="false">IFERROR(($A44+$F$8)/(Assumptions!$B$35*12*Assumptions!$C$30),0)</f>
        <v>716.427259259259</v>
      </c>
      <c r="F44" s="33" t="n">
        <f aca="false">IFERROR(($A44+$F$10)/(Assumptions!$B$36*12*Assumptions!$C$30),0)</f>
        <v>102.161244444444</v>
      </c>
    </row>
    <row r="45" customFormat="false" ht="15" hidden="false" customHeight="true" outlineLevel="0" collapsed="false">
      <c r="A45" s="29" t="n">
        <f aca="false">$B$15</f>
        <v>500000</v>
      </c>
      <c r="B45" s="28" t="n">
        <f aca="false">Assumptions!$B$27</f>
        <v>0.06</v>
      </c>
      <c r="C45" s="27" t="n">
        <f aca="false">IFERROR(($A45+$F$6)/(Assumptions!$B$33*12*Assumptions!$C$27),0)</f>
        <v>279521.511111111</v>
      </c>
      <c r="D45" s="27" t="n">
        <f aca="false">IFERROR(($A45+$F$6)/(Assumptions!$B$34*12*Assumptions!$C$27),0)</f>
        <v>27952.1511111111</v>
      </c>
      <c r="E45" s="27" t="n">
        <f aca="false">IFERROR(($A45+$F$8)/(Assumptions!$B$35*12*Assumptions!$C$27),0)</f>
        <v>3260.39288888889</v>
      </c>
      <c r="F45" s="27" t="n">
        <f aca="false">IFERROR(($A45+$F$10)/(Assumptions!$B$36*12*Assumptions!$C$27),0)</f>
        <v>417.594844444445</v>
      </c>
    </row>
    <row r="46" customFormat="false" ht="15" hidden="false" customHeight="true" outlineLevel="0" collapsed="false">
      <c r="A46" s="35" t="n">
        <f aca="false">$B$15</f>
        <v>500000</v>
      </c>
      <c r="B46" s="34" t="n">
        <f aca="false">Assumptions!$B$28</f>
        <v>0.07</v>
      </c>
      <c r="C46" s="33" t="n">
        <f aca="false">IFERROR(($A46+$F$6)/(Assumptions!$B$33*12*Assumptions!$C$28),0)</f>
        <v>167712.906666667</v>
      </c>
      <c r="D46" s="33" t="n">
        <f aca="false">IFERROR(($A46+$F$6)/(Assumptions!$B$34*12*Assumptions!$C$28),0)</f>
        <v>16771.2906666667</v>
      </c>
      <c r="E46" s="33" t="n">
        <f aca="false">IFERROR(($A46+$F$8)/(Assumptions!$B$35*12*Assumptions!$C$28),0)</f>
        <v>1956.23573333333</v>
      </c>
      <c r="F46" s="33" t="n">
        <f aca="false">IFERROR(($A46+$F$10)/(Assumptions!$B$36*12*Assumptions!$C$28),0)</f>
        <v>250.556906666667</v>
      </c>
    </row>
    <row r="47" customFormat="false" ht="15" hidden="false" customHeight="true" outlineLevel="0" collapsed="false">
      <c r="A47" s="29" t="n">
        <f aca="false">$B$15</f>
        <v>500000</v>
      </c>
      <c r="B47" s="28" t="n">
        <f aca="false">Assumptions!$B$29</f>
        <v>0.08</v>
      </c>
      <c r="C47" s="27" t="n">
        <f aca="false">IFERROR(($A47+$F$6)/(Assumptions!$B$33*12*Assumptions!$C$29),0)</f>
        <v>119794.933333333</v>
      </c>
      <c r="D47" s="27" t="n">
        <f aca="false">IFERROR(($A47+$F$6)/(Assumptions!$B$34*12*Assumptions!$C$29),0)</f>
        <v>11979.4933333333</v>
      </c>
      <c r="E47" s="27" t="n">
        <f aca="false">IFERROR(($A47+$F$8)/(Assumptions!$B$35*12*Assumptions!$C$29),0)</f>
        <v>1397.31123809524</v>
      </c>
      <c r="F47" s="27" t="n">
        <f aca="false">IFERROR(($A47+$F$10)/(Assumptions!$B$36*12*Assumptions!$C$29),0)</f>
        <v>178.969219047619</v>
      </c>
    </row>
    <row r="48" customFormat="false" ht="15" hidden="false" customHeight="true" outlineLevel="0" collapsed="false">
      <c r="A48" s="35" t="n">
        <f aca="false">$B$15</f>
        <v>500000</v>
      </c>
      <c r="B48" s="34" t="n">
        <f aca="false">Assumptions!$B$30</f>
        <v>0.09</v>
      </c>
      <c r="C48" s="33" t="n">
        <f aca="false">IFERROR(($A48+$F$6)/(Assumptions!$B$33*12*Assumptions!$C$30),0)</f>
        <v>93173.837037037</v>
      </c>
      <c r="D48" s="33" t="n">
        <f aca="false">IFERROR(($A48+$F$6)/(Assumptions!$B$34*12*Assumptions!$C$30),0)</f>
        <v>9317.3837037037</v>
      </c>
      <c r="E48" s="33" t="n">
        <f aca="false">IFERROR(($A48+$F$8)/(Assumptions!$B$35*12*Assumptions!$C$30),0)</f>
        <v>1086.79762962963</v>
      </c>
      <c r="F48" s="33" t="n">
        <f aca="false">IFERROR(($A48+$F$10)/(Assumptions!$B$36*12*Assumptions!$C$30),0)</f>
        <v>139.198281481481</v>
      </c>
    </row>
    <row r="50" customFormat="false" ht="15" hidden="false" customHeight="true" outlineLevel="0" collapsed="false">
      <c r="A50" s="3" t="s">
        <v>183</v>
      </c>
    </row>
    <row r="53" customFormat="false" ht="15" hidden="false" customHeight="true" outlineLevel="0" collapsed="false">
      <c r="A53" s="16" t="s">
        <v>184</v>
      </c>
    </row>
    <row r="54" customFormat="false" ht="15" hidden="false" customHeight="true" outlineLevel="0" collapsed="false">
      <c r="A54" s="8" t="s">
        <v>185</v>
      </c>
      <c r="B54" s="8" t="s">
        <v>48</v>
      </c>
      <c r="C54" s="8" t="s">
        <v>186</v>
      </c>
      <c r="D54" s="8" t="s">
        <v>104</v>
      </c>
      <c r="E54" s="8" t="s">
        <v>105</v>
      </c>
      <c r="F54" s="8" t="s">
        <v>187</v>
      </c>
      <c r="G54" s="8" t="s">
        <v>107</v>
      </c>
      <c r="H54" s="8" t="s">
        <v>108</v>
      </c>
      <c r="I54" s="8" t="s">
        <v>109</v>
      </c>
    </row>
    <row r="55" customFormat="false" ht="15" hidden="false" customHeight="true" outlineLevel="0" collapsed="false">
      <c r="A55" s="35" t="n">
        <f aca="false">$B$13</f>
        <v>100000</v>
      </c>
      <c r="B55" s="21" t="n">
        <f aca="false">D21</f>
        <v>873</v>
      </c>
      <c r="C55" s="33" t="n">
        <f aca="false">B55*Assumptions!$B$11*12</f>
        <v>5238000</v>
      </c>
      <c r="D55" s="33" t="n">
        <f aca="false">C55*Assumptions!$C$29</f>
        <v>183330</v>
      </c>
      <c r="E55" s="33" t="n">
        <f aca="false">IF(B55&gt;=10000,11670.72,IF(B55&gt;=1000,6870.72,3138.72))</f>
        <v>3138.72</v>
      </c>
      <c r="F55" s="33" t="n">
        <f aca="false">Assumptions!$B$19*IF(B55&gt;=Assumptions!$B$22,3,IF(B55&gt;=Assumptions!$B$21,2,IF(B55&gt;=Assumptions!$B$20,1,0)))</f>
        <v>80000</v>
      </c>
      <c r="G55" s="20" t="n">
        <f aca="false">D55-E55-F55</f>
        <v>100191.28</v>
      </c>
      <c r="H55" s="33" t="n">
        <f aca="false">IF(G55&gt;0,G55*Assumptions!$B$23,G55)</f>
        <v>50095.64</v>
      </c>
      <c r="I55" s="33" t="n">
        <f aca="false">IF(G55&gt;0,G55*(1-Assumptions!$B$23),0)</f>
        <v>50095.64</v>
      </c>
    </row>
    <row r="56" customFormat="false" ht="15" hidden="false" customHeight="true" outlineLevel="0" collapsed="false">
      <c r="A56" s="35" t="n">
        <f aca="false">$B$14</f>
        <v>300000</v>
      </c>
      <c r="B56" s="21" t="n">
        <f aca="false">D25</f>
        <v>1843</v>
      </c>
      <c r="C56" s="33" t="n">
        <f aca="false">B56*Assumptions!$B$11*12</f>
        <v>11058000</v>
      </c>
      <c r="D56" s="33" t="n">
        <f aca="false">C56*Assumptions!$C$29</f>
        <v>387030</v>
      </c>
      <c r="E56" s="33" t="n">
        <f aca="false">IF(B56&gt;=10000,11670.72,IF(B56&gt;=1000,6870.72,3138.72))</f>
        <v>6870.72</v>
      </c>
      <c r="F56" s="33" t="n">
        <f aca="false">Assumptions!$B$19*IF(B56&gt;=Assumptions!$B$22,3,IF(B56&gt;=Assumptions!$B$21,2,IF(B56&gt;=Assumptions!$B$20,1,0)))</f>
        <v>80000</v>
      </c>
      <c r="G56" s="20" t="n">
        <f aca="false">D56-E56-F56</f>
        <v>300159.28</v>
      </c>
      <c r="H56" s="33" t="n">
        <f aca="false">IF(G56&gt;0,G56*Assumptions!$B$23,G56)</f>
        <v>150079.64</v>
      </c>
      <c r="I56" s="33" t="n">
        <f aca="false">IF(G56&gt;0,G56*(1-Assumptions!$B$23),0)</f>
        <v>150079.64</v>
      </c>
    </row>
    <row r="57" customFormat="false" ht="15" hidden="false" customHeight="true" outlineLevel="0" collapsed="false">
      <c r="A57" s="35" t="n">
        <f aca="false">$B$15</f>
        <v>500000</v>
      </c>
      <c r="B57" s="21" t="n">
        <f aca="false">D29</f>
        <v>3176</v>
      </c>
      <c r="C57" s="33" t="n">
        <f aca="false">B57*Assumptions!$B$11*12</f>
        <v>19056000</v>
      </c>
      <c r="D57" s="33" t="n">
        <f aca="false">C57*Assumptions!$C$29</f>
        <v>666960</v>
      </c>
      <c r="E57" s="33" t="n">
        <f aca="false">IF(B57&gt;=10000,11670.72,IF(B57&gt;=1000,6870.72,3138.72))</f>
        <v>6870.72</v>
      </c>
      <c r="F57" s="33" t="n">
        <f aca="false">Assumptions!$B$19*IF(B57&gt;=Assumptions!$B$22,3,IF(B57&gt;=Assumptions!$B$21,2,IF(B57&gt;=Assumptions!$B$20,1,0)))</f>
        <v>160000</v>
      </c>
      <c r="G57" s="20" t="n">
        <f aca="false">D57-E57-F57</f>
        <v>500089.28</v>
      </c>
      <c r="H57" s="33" t="n">
        <f aca="false">IF(G57&gt;0,G57*Assumptions!$B$23,G57)</f>
        <v>250044.64</v>
      </c>
      <c r="I57" s="33" t="n">
        <f aca="false">IF(G57&gt;0,G57*(1-Assumptions!$B$23),0)</f>
        <v>250044.64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L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4" min="3" style="1" width="16"/>
    <col collapsed="false" customWidth="true" hidden="false" outlineLevel="0" max="5" min="5" style="1" width="15"/>
    <col collapsed="false" customWidth="true" hidden="false" outlineLevel="0" max="6" min="6" style="1" width="14"/>
    <col collapsed="false" customWidth="true" hidden="false" outlineLevel="0" max="12" min="7" style="1" width="16"/>
  </cols>
  <sheetData>
    <row r="1" customFormat="false" ht="17.25" hidden="false" customHeight="true" outlineLevel="0" collapsed="false">
      <c r="A1" s="2" t="s">
        <v>188</v>
      </c>
    </row>
    <row r="2" customFormat="false" ht="15" hidden="false" customHeight="true" outlineLevel="0" collapsed="false">
      <c r="A2" s="3" t="s">
        <v>189</v>
      </c>
    </row>
    <row r="4" customFormat="false" ht="15" hidden="false" customHeight="true" outlineLevel="0" collapsed="false">
      <c r="A4" s="16" t="s">
        <v>190</v>
      </c>
    </row>
    <row r="5" customFormat="false" ht="30" hidden="false" customHeight="true" outlineLevel="0" collapsed="false">
      <c r="A5" s="23" t="s">
        <v>99</v>
      </c>
      <c r="B5" s="23" t="s">
        <v>40</v>
      </c>
      <c r="C5" s="23" t="s">
        <v>100</v>
      </c>
      <c r="D5" s="23" t="s">
        <v>101</v>
      </c>
      <c r="E5" s="23" t="s">
        <v>102</v>
      </c>
      <c r="F5" s="23" t="s">
        <v>191</v>
      </c>
      <c r="G5" s="23" t="s">
        <v>104</v>
      </c>
      <c r="H5" s="23" t="s">
        <v>192</v>
      </c>
      <c r="I5" s="23" t="s">
        <v>107</v>
      </c>
      <c r="J5" s="23" t="s">
        <v>108</v>
      </c>
      <c r="K5" s="23" t="s">
        <v>109</v>
      </c>
      <c r="L5" s="23" t="s">
        <v>193</v>
      </c>
    </row>
    <row r="6" customFormat="false" ht="15" hidden="false" customHeight="true" outlineLevel="0" collapsed="false">
      <c r="A6" s="25" t="n">
        <f aca="false">Assumptions!$B$10</f>
        <v>110</v>
      </c>
      <c r="B6" s="28" t="n">
        <f aca="false">Assumptions!$B$27</f>
        <v>0.06</v>
      </c>
      <c r="C6" s="27" t="n">
        <f aca="false">A6*Assumptions!$B$36*12</f>
        <v>13200000</v>
      </c>
      <c r="D6" s="27" t="n">
        <f aca="false">C6*B6</f>
        <v>792000</v>
      </c>
      <c r="E6" s="27" t="n">
        <f aca="false">-(C6*Assumptions!$B$14+IFERROR(C6/Assumptions!$B$13,0)*Assumptions!$B$15)</f>
        <v>-462000</v>
      </c>
      <c r="F6" s="27" t="n">
        <f aca="false">-C6*Assumptions!$B$17</f>
        <v>-132000</v>
      </c>
      <c r="G6" s="27" t="n">
        <f aca="false">D6+E6+F6</f>
        <v>198000</v>
      </c>
      <c r="H6" s="29" t="n">
        <f aca="false">-Costs!$E$19</f>
        <v>-251670.72</v>
      </c>
      <c r="I6" s="30" t="n">
        <f aca="false">G6+H6</f>
        <v>-53670.72</v>
      </c>
      <c r="J6" s="27" t="n">
        <f aca="false">IF(I6&gt;0,I6*Assumptions!$B$23,I6)</f>
        <v>-53670.72</v>
      </c>
      <c r="K6" s="27" t="n">
        <f aca="false">IF(I6&gt;0,I6*(1-Assumptions!$B$23),0)</f>
        <v>0</v>
      </c>
      <c r="L6" s="31" t="n">
        <f aca="false">IFERROR(MAX(J6,0)/Assumptions!$B$24,0)</f>
        <v>0</v>
      </c>
    </row>
    <row r="7" customFormat="false" ht="15" hidden="false" customHeight="true" outlineLevel="0" collapsed="false">
      <c r="A7" s="32" t="n">
        <f aca="false">Assumptions!$B$10</f>
        <v>110</v>
      </c>
      <c r="B7" s="34" t="n">
        <f aca="false">Assumptions!$B$28</f>
        <v>0.07</v>
      </c>
      <c r="C7" s="33" t="n">
        <f aca="false">A7*Assumptions!$B$36*12</f>
        <v>13200000</v>
      </c>
      <c r="D7" s="33" t="n">
        <f aca="false">C7*B7</f>
        <v>924000</v>
      </c>
      <c r="E7" s="33" t="n">
        <f aca="false">-(C7*Assumptions!$B$14+IFERROR(C7/Assumptions!$B$13,0)*Assumptions!$B$15)</f>
        <v>-462000</v>
      </c>
      <c r="F7" s="33" t="n">
        <f aca="false">-C7*Assumptions!$B$17</f>
        <v>-132000</v>
      </c>
      <c r="G7" s="33" t="n">
        <f aca="false">D7+E7+F7</f>
        <v>330000</v>
      </c>
      <c r="H7" s="35" t="n">
        <f aca="false">-Costs!$E$19</f>
        <v>-251670.72</v>
      </c>
      <c r="I7" s="20" t="n">
        <f aca="false">G7+H7</f>
        <v>78329.2800000001</v>
      </c>
      <c r="J7" s="33" t="n">
        <f aca="false">IF(I7&gt;0,I7*Assumptions!$B$23,I7)</f>
        <v>39164.6400000001</v>
      </c>
      <c r="K7" s="33" t="n">
        <f aca="false">IF(I7&gt;0,I7*(1-Assumptions!$B$23),0)</f>
        <v>39164.6400000001</v>
      </c>
      <c r="L7" s="15" t="n">
        <f aca="false">IFERROR(MAX(J7,0)/Assumptions!$B$24,0)</f>
        <v>783.292800000001</v>
      </c>
    </row>
    <row r="8" customFormat="false" ht="15" hidden="false" customHeight="true" outlineLevel="0" collapsed="false">
      <c r="A8" s="25" t="n">
        <f aca="false">Assumptions!$B$10</f>
        <v>110</v>
      </c>
      <c r="B8" s="28" t="n">
        <f aca="false">Assumptions!$B$29</f>
        <v>0.08</v>
      </c>
      <c r="C8" s="27" t="n">
        <f aca="false">A8*Assumptions!$B$36*12</f>
        <v>13200000</v>
      </c>
      <c r="D8" s="27" t="n">
        <f aca="false">C8*B8</f>
        <v>1056000</v>
      </c>
      <c r="E8" s="27" t="n">
        <f aca="false">-(C8*Assumptions!$B$14+IFERROR(C8/Assumptions!$B$13,0)*Assumptions!$B$15)</f>
        <v>-462000</v>
      </c>
      <c r="F8" s="27" t="n">
        <f aca="false">-C8*Assumptions!$B$17</f>
        <v>-132000</v>
      </c>
      <c r="G8" s="27" t="n">
        <f aca="false">D8+E8+F8</f>
        <v>462000</v>
      </c>
      <c r="H8" s="29" t="n">
        <f aca="false">-Costs!$E$19</f>
        <v>-251670.72</v>
      </c>
      <c r="I8" s="30" t="n">
        <f aca="false">G8+H8</f>
        <v>210329.28</v>
      </c>
      <c r="J8" s="27" t="n">
        <f aca="false">IF(I8&gt;0,I8*Assumptions!$B$23,I8)</f>
        <v>105164.64</v>
      </c>
      <c r="K8" s="27" t="n">
        <f aca="false">IF(I8&gt;0,I8*(1-Assumptions!$B$23),0)</f>
        <v>105164.64</v>
      </c>
      <c r="L8" s="31" t="n">
        <f aca="false">IFERROR(MAX(J8,0)/Assumptions!$B$24,0)</f>
        <v>2103.2928</v>
      </c>
    </row>
    <row r="9" customFormat="false" ht="15" hidden="false" customHeight="true" outlineLevel="0" collapsed="false">
      <c r="A9" s="32" t="n">
        <f aca="false">Assumptions!$B$10</f>
        <v>110</v>
      </c>
      <c r="B9" s="34" t="n">
        <f aca="false">Assumptions!$B$30</f>
        <v>0.09</v>
      </c>
      <c r="C9" s="33" t="n">
        <f aca="false">A9*Assumptions!$B$36*12</f>
        <v>13200000</v>
      </c>
      <c r="D9" s="33" t="n">
        <f aca="false">C9*B9</f>
        <v>1188000</v>
      </c>
      <c r="E9" s="33" t="n">
        <f aca="false">-(C9*Assumptions!$B$14+IFERROR(C9/Assumptions!$B$13,0)*Assumptions!$B$15)</f>
        <v>-462000</v>
      </c>
      <c r="F9" s="33" t="n">
        <f aca="false">-C9*Assumptions!$B$17</f>
        <v>-132000</v>
      </c>
      <c r="G9" s="33" t="n">
        <f aca="false">D9+E9+F9</f>
        <v>594000</v>
      </c>
      <c r="H9" s="35" t="n">
        <f aca="false">-Costs!$E$19</f>
        <v>-251670.72</v>
      </c>
      <c r="I9" s="20" t="n">
        <f aca="false">G9+H9</f>
        <v>342329.28</v>
      </c>
      <c r="J9" s="33" t="n">
        <f aca="false">IF(I9&gt;0,I9*Assumptions!$B$23,I9)</f>
        <v>171164.64</v>
      </c>
      <c r="K9" s="33" t="n">
        <f aca="false">IF(I9&gt;0,I9*(1-Assumptions!$B$23),0)</f>
        <v>171164.64</v>
      </c>
      <c r="L9" s="15" t="n">
        <f aca="false">IFERROR(MAX(J9,0)/Assumptions!$B$24,0)</f>
        <v>3423.2928</v>
      </c>
    </row>
    <row r="10" customFormat="false" ht="15" hidden="false" customHeight="true" outlineLevel="0" collapsed="false">
      <c r="A10" s="25" t="n">
        <f aca="false">Assumptions!$B$11</f>
        <v>500</v>
      </c>
      <c r="B10" s="28" t="n">
        <f aca="false">Assumptions!$B$27</f>
        <v>0.06</v>
      </c>
      <c r="C10" s="27" t="n">
        <f aca="false">A10*Assumptions!$B$36*12</f>
        <v>60000000</v>
      </c>
      <c r="D10" s="27" t="n">
        <f aca="false">C10*B10</f>
        <v>3600000</v>
      </c>
      <c r="E10" s="27" t="n">
        <f aca="false">-(C10*Assumptions!$B$14+IFERROR(C10/Assumptions!$B$13,0)*Assumptions!$B$15)</f>
        <v>-2100000</v>
      </c>
      <c r="F10" s="27" t="n">
        <f aca="false">-C10*Assumptions!$B$17</f>
        <v>-600000</v>
      </c>
      <c r="G10" s="27" t="n">
        <f aca="false">D10+E10+F10</f>
        <v>900000</v>
      </c>
      <c r="H10" s="29" t="n">
        <f aca="false">-Costs!$E$19</f>
        <v>-251670.72</v>
      </c>
      <c r="I10" s="30" t="n">
        <f aca="false">G10+H10</f>
        <v>648329.28</v>
      </c>
      <c r="J10" s="27" t="n">
        <f aca="false">IF(I10&gt;0,I10*Assumptions!$B$23,I10)</f>
        <v>324164.64</v>
      </c>
      <c r="K10" s="27" t="n">
        <f aca="false">IF(I10&gt;0,I10*(1-Assumptions!$B$23),0)</f>
        <v>324164.64</v>
      </c>
      <c r="L10" s="31" t="n">
        <f aca="false">IFERROR(MAX(J10,0)/Assumptions!$B$24,0)</f>
        <v>6483.2928</v>
      </c>
    </row>
    <row r="11" customFormat="false" ht="15" hidden="false" customHeight="true" outlineLevel="0" collapsed="false">
      <c r="A11" s="32" t="n">
        <f aca="false">Assumptions!$B$11</f>
        <v>500</v>
      </c>
      <c r="B11" s="34" t="n">
        <f aca="false">Assumptions!$B$28</f>
        <v>0.07</v>
      </c>
      <c r="C11" s="33" t="n">
        <f aca="false">A11*Assumptions!$B$36*12</f>
        <v>60000000</v>
      </c>
      <c r="D11" s="33" t="n">
        <f aca="false">C11*B11</f>
        <v>4200000</v>
      </c>
      <c r="E11" s="33" t="n">
        <f aca="false">-(C11*Assumptions!$B$14+IFERROR(C11/Assumptions!$B$13,0)*Assumptions!$B$15)</f>
        <v>-2100000</v>
      </c>
      <c r="F11" s="33" t="n">
        <f aca="false">-C11*Assumptions!$B$17</f>
        <v>-600000</v>
      </c>
      <c r="G11" s="33" t="n">
        <f aca="false">D11+E11+F11</f>
        <v>1500000</v>
      </c>
      <c r="H11" s="35" t="n">
        <f aca="false">-Costs!$E$19</f>
        <v>-251670.72</v>
      </c>
      <c r="I11" s="20" t="n">
        <f aca="false">G11+H11</f>
        <v>1248329.28</v>
      </c>
      <c r="J11" s="33" t="n">
        <f aca="false">IF(I11&gt;0,I11*Assumptions!$B$23,I11)</f>
        <v>624164.64</v>
      </c>
      <c r="K11" s="33" t="n">
        <f aca="false">IF(I11&gt;0,I11*(1-Assumptions!$B$23),0)</f>
        <v>624164.64</v>
      </c>
      <c r="L11" s="15" t="n">
        <f aca="false">IFERROR(MAX(J11,0)/Assumptions!$B$24,0)</f>
        <v>12483.2928</v>
      </c>
    </row>
    <row r="12" customFormat="false" ht="15" hidden="false" customHeight="true" outlineLevel="0" collapsed="false">
      <c r="A12" s="25" t="n">
        <f aca="false">Assumptions!$B$11</f>
        <v>500</v>
      </c>
      <c r="B12" s="28" t="n">
        <f aca="false">Assumptions!$B$29</f>
        <v>0.08</v>
      </c>
      <c r="C12" s="27" t="n">
        <f aca="false">A12*Assumptions!$B$36*12</f>
        <v>60000000</v>
      </c>
      <c r="D12" s="27" t="n">
        <f aca="false">C12*B12</f>
        <v>4800000</v>
      </c>
      <c r="E12" s="27" t="n">
        <f aca="false">-(C12*Assumptions!$B$14+IFERROR(C12/Assumptions!$B$13,0)*Assumptions!$B$15)</f>
        <v>-2100000</v>
      </c>
      <c r="F12" s="27" t="n">
        <f aca="false">-C12*Assumptions!$B$17</f>
        <v>-600000</v>
      </c>
      <c r="G12" s="27" t="n">
        <f aca="false">D12+E12+F12</f>
        <v>2100000</v>
      </c>
      <c r="H12" s="29" t="n">
        <f aca="false">-Costs!$E$19</f>
        <v>-251670.72</v>
      </c>
      <c r="I12" s="30" t="n">
        <f aca="false">G12+H12</f>
        <v>1848329.28</v>
      </c>
      <c r="J12" s="27" t="n">
        <f aca="false">IF(I12&gt;0,I12*Assumptions!$B$23,I12)</f>
        <v>924164.64</v>
      </c>
      <c r="K12" s="27" t="n">
        <f aca="false">IF(I12&gt;0,I12*(1-Assumptions!$B$23),0)</f>
        <v>924164.64</v>
      </c>
      <c r="L12" s="31" t="n">
        <f aca="false">IFERROR(MAX(J12,0)/Assumptions!$B$24,0)</f>
        <v>18483.2928</v>
      </c>
    </row>
    <row r="13" customFormat="false" ht="15" hidden="false" customHeight="true" outlineLevel="0" collapsed="false">
      <c r="A13" s="32" t="n">
        <f aca="false">Assumptions!$B$11</f>
        <v>500</v>
      </c>
      <c r="B13" s="34" t="n">
        <f aca="false">Assumptions!$B$30</f>
        <v>0.09</v>
      </c>
      <c r="C13" s="33" t="n">
        <f aca="false">A13*Assumptions!$B$36*12</f>
        <v>60000000</v>
      </c>
      <c r="D13" s="33" t="n">
        <f aca="false">C13*B13</f>
        <v>5400000</v>
      </c>
      <c r="E13" s="33" t="n">
        <f aca="false">-(C13*Assumptions!$B$14+IFERROR(C13/Assumptions!$B$13,0)*Assumptions!$B$15)</f>
        <v>-2100000</v>
      </c>
      <c r="F13" s="33" t="n">
        <f aca="false">-C13*Assumptions!$B$17</f>
        <v>-600000</v>
      </c>
      <c r="G13" s="33" t="n">
        <f aca="false">D13+E13+F13</f>
        <v>2700000</v>
      </c>
      <c r="H13" s="35" t="n">
        <f aca="false">-Costs!$E$19</f>
        <v>-251670.72</v>
      </c>
      <c r="I13" s="20" t="n">
        <f aca="false">G13+H13</f>
        <v>2448329.28</v>
      </c>
      <c r="J13" s="33" t="n">
        <f aca="false">IF(I13&gt;0,I13*Assumptions!$B$23,I13)</f>
        <v>1224164.64</v>
      </c>
      <c r="K13" s="33" t="n">
        <f aca="false">IF(I13&gt;0,I13*(1-Assumptions!$B$23),0)</f>
        <v>1224164.64</v>
      </c>
      <c r="L13" s="15" t="n">
        <f aca="false">IFERROR(MAX(J13,0)/Assumptions!$B$24,0)</f>
        <v>24483.2928</v>
      </c>
    </row>
    <row r="14" customFormat="false" ht="15" hidden="false" customHeight="true" outlineLevel="0" collapsed="false">
      <c r="A14" s="25" t="n">
        <f aca="false">Assumptions!$B$12</f>
        <v>2000</v>
      </c>
      <c r="B14" s="28" t="n">
        <f aca="false">Assumptions!$B$27</f>
        <v>0.06</v>
      </c>
      <c r="C14" s="27" t="n">
        <f aca="false">A14*Assumptions!$B$36*12</f>
        <v>240000000</v>
      </c>
      <c r="D14" s="27" t="n">
        <f aca="false">C14*B14</f>
        <v>14400000</v>
      </c>
      <c r="E14" s="27" t="n">
        <f aca="false">-(C14*Assumptions!$B$14+IFERROR(C14/Assumptions!$B$13,0)*Assumptions!$B$15)</f>
        <v>-8400000</v>
      </c>
      <c r="F14" s="27" t="n">
        <f aca="false">-C14*Assumptions!$B$17</f>
        <v>-2400000</v>
      </c>
      <c r="G14" s="27" t="n">
        <f aca="false">D14+E14+F14</f>
        <v>3600000</v>
      </c>
      <c r="H14" s="29" t="n">
        <f aca="false">-Costs!$E$19</f>
        <v>-251670.72</v>
      </c>
      <c r="I14" s="30" t="n">
        <f aca="false">G14+H14</f>
        <v>3348329.28</v>
      </c>
      <c r="J14" s="27" t="n">
        <f aca="false">IF(I14&gt;0,I14*Assumptions!$B$23,I14)</f>
        <v>1674164.64</v>
      </c>
      <c r="K14" s="27" t="n">
        <f aca="false">IF(I14&gt;0,I14*(1-Assumptions!$B$23),0)</f>
        <v>1674164.64</v>
      </c>
      <c r="L14" s="31" t="n">
        <f aca="false">IFERROR(MAX(J14,0)/Assumptions!$B$24,0)</f>
        <v>33483.2928</v>
      </c>
    </row>
    <row r="15" customFormat="false" ht="15" hidden="false" customHeight="true" outlineLevel="0" collapsed="false">
      <c r="A15" s="32" t="n">
        <f aca="false">Assumptions!$B$12</f>
        <v>2000</v>
      </c>
      <c r="B15" s="34" t="n">
        <f aca="false">Assumptions!$B$28</f>
        <v>0.07</v>
      </c>
      <c r="C15" s="33" t="n">
        <f aca="false">A15*Assumptions!$B$36*12</f>
        <v>240000000</v>
      </c>
      <c r="D15" s="33" t="n">
        <f aca="false">C15*B15</f>
        <v>16800000</v>
      </c>
      <c r="E15" s="33" t="n">
        <f aca="false">-(C15*Assumptions!$B$14+IFERROR(C15/Assumptions!$B$13,0)*Assumptions!$B$15)</f>
        <v>-8400000</v>
      </c>
      <c r="F15" s="33" t="n">
        <f aca="false">-C15*Assumptions!$B$17</f>
        <v>-2400000</v>
      </c>
      <c r="G15" s="33" t="n">
        <f aca="false">D15+E15+F15</f>
        <v>6000000</v>
      </c>
      <c r="H15" s="35" t="n">
        <f aca="false">-Costs!$E$19</f>
        <v>-251670.72</v>
      </c>
      <c r="I15" s="20" t="n">
        <f aca="false">G15+H15</f>
        <v>5748329.28</v>
      </c>
      <c r="J15" s="33" t="n">
        <f aca="false">IF(I15&gt;0,I15*Assumptions!$B$23,I15)</f>
        <v>2874164.64</v>
      </c>
      <c r="K15" s="33" t="n">
        <f aca="false">IF(I15&gt;0,I15*(1-Assumptions!$B$23),0)</f>
        <v>2874164.64</v>
      </c>
      <c r="L15" s="15" t="n">
        <f aca="false">IFERROR(MAX(J15,0)/Assumptions!$B$24,0)</f>
        <v>57483.2928</v>
      </c>
    </row>
    <row r="16" customFormat="false" ht="15" hidden="false" customHeight="true" outlineLevel="0" collapsed="false">
      <c r="A16" s="25" t="n">
        <f aca="false">Assumptions!$B$12</f>
        <v>2000</v>
      </c>
      <c r="B16" s="28" t="n">
        <f aca="false">Assumptions!$B$29</f>
        <v>0.08</v>
      </c>
      <c r="C16" s="27" t="n">
        <f aca="false">A16*Assumptions!$B$36*12</f>
        <v>240000000</v>
      </c>
      <c r="D16" s="27" t="n">
        <f aca="false">C16*B16</f>
        <v>19200000</v>
      </c>
      <c r="E16" s="27" t="n">
        <f aca="false">-(C16*Assumptions!$B$14+IFERROR(C16/Assumptions!$B$13,0)*Assumptions!$B$15)</f>
        <v>-8400000</v>
      </c>
      <c r="F16" s="27" t="n">
        <f aca="false">-C16*Assumptions!$B$17</f>
        <v>-2400000</v>
      </c>
      <c r="G16" s="27" t="n">
        <f aca="false">D16+E16+F16</f>
        <v>8400000</v>
      </c>
      <c r="H16" s="29" t="n">
        <f aca="false">-Costs!$E$19</f>
        <v>-251670.72</v>
      </c>
      <c r="I16" s="30" t="n">
        <f aca="false">G16+H16</f>
        <v>8148329.28</v>
      </c>
      <c r="J16" s="27" t="n">
        <f aca="false">IF(I16&gt;0,I16*Assumptions!$B$23,I16)</f>
        <v>4074164.64</v>
      </c>
      <c r="K16" s="27" t="n">
        <f aca="false">IF(I16&gt;0,I16*(1-Assumptions!$B$23),0)</f>
        <v>4074164.64</v>
      </c>
      <c r="L16" s="31" t="n">
        <f aca="false">IFERROR(MAX(J16,0)/Assumptions!$B$24,0)</f>
        <v>81483.2928</v>
      </c>
    </row>
    <row r="17" customFormat="false" ht="15" hidden="false" customHeight="true" outlineLevel="0" collapsed="false">
      <c r="A17" s="32" t="n">
        <f aca="false">Assumptions!$B$12</f>
        <v>2000</v>
      </c>
      <c r="B17" s="34" t="n">
        <f aca="false">Assumptions!$B$30</f>
        <v>0.09</v>
      </c>
      <c r="C17" s="33" t="n">
        <f aca="false">A17*Assumptions!$B$36*12</f>
        <v>240000000</v>
      </c>
      <c r="D17" s="33" t="n">
        <f aca="false">C17*B17</f>
        <v>21600000</v>
      </c>
      <c r="E17" s="33" t="n">
        <f aca="false">-(C17*Assumptions!$B$14+IFERROR(C17/Assumptions!$B$13,0)*Assumptions!$B$15)</f>
        <v>-8400000</v>
      </c>
      <c r="F17" s="33" t="n">
        <f aca="false">-C17*Assumptions!$B$17</f>
        <v>-2400000</v>
      </c>
      <c r="G17" s="33" t="n">
        <f aca="false">D17+E17+F17</f>
        <v>10800000</v>
      </c>
      <c r="H17" s="35" t="n">
        <f aca="false">-Costs!$E$19</f>
        <v>-251670.72</v>
      </c>
      <c r="I17" s="20" t="n">
        <f aca="false">G17+H17</f>
        <v>10548329.28</v>
      </c>
      <c r="J17" s="33" t="n">
        <f aca="false">IF(I17&gt;0,I17*Assumptions!$B$23,I17)</f>
        <v>5274164.64</v>
      </c>
      <c r="K17" s="33" t="n">
        <f aca="false">IF(I17&gt;0,I17*(1-Assumptions!$B$23),0)</f>
        <v>5274164.64</v>
      </c>
      <c r="L17" s="15" t="n">
        <f aca="false">IFERROR(MAX(J17,0)/Assumptions!$B$24,0)</f>
        <v>105483.2928</v>
      </c>
    </row>
    <row r="20" customFormat="false" ht="15" hidden="false" customHeight="true" outlineLevel="0" collapsed="false">
      <c r="A20" s="16" t="s">
        <v>194</v>
      </c>
    </row>
    <row r="21" customFormat="false" ht="15" hidden="false" customHeight="true" outlineLevel="0" collapsed="false">
      <c r="A21" s="8" t="s">
        <v>40</v>
      </c>
      <c r="B21" s="36" t="n">
        <f aca="false">Assumptions!$B$16</f>
        <v>0.005</v>
      </c>
      <c r="C21" s="36" t="n">
        <f aca="false">Assumptions!$B$17</f>
        <v>0.01</v>
      </c>
      <c r="D21" s="36" t="n">
        <f aca="false">Assumptions!$B$18</f>
        <v>0.02</v>
      </c>
    </row>
    <row r="22" customFormat="false" ht="15" hidden="false" customHeight="true" outlineLevel="0" collapsed="false">
      <c r="A22" s="34" t="n">
        <f aca="false">Assumptions!$B$27</f>
        <v>0.06</v>
      </c>
      <c r="B22" s="33" t="n">
        <f aca="false">(Assumptions!$B$11*Assumptions!$B$36*12)*($A22-Assumptions!$B$14-(Assumptions!$B$15/Assumptions!$B$13)-Assumptions!$B$16)-Costs!$E$19</f>
        <v>948329.28</v>
      </c>
      <c r="C22" s="33" t="n">
        <f aca="false">(Assumptions!$B$11*Assumptions!$B$36*12)*($A22-Assumptions!$B$14-(Assumptions!$B$15/Assumptions!$B$13)-Assumptions!$B$17)-Costs!$E$19</f>
        <v>648329.28</v>
      </c>
      <c r="D22" s="33" t="n">
        <f aca="false">(Assumptions!$B$11*Assumptions!$B$36*12)*($A22-Assumptions!$B$14-(Assumptions!$B$15/Assumptions!$B$13)-Assumptions!$B$18)-Costs!$E$19</f>
        <v>48329.2799999997</v>
      </c>
    </row>
    <row r="23" customFormat="false" ht="15" hidden="false" customHeight="true" outlineLevel="0" collapsed="false">
      <c r="A23" s="34" t="n">
        <f aca="false">Assumptions!$B$28</f>
        <v>0.07</v>
      </c>
      <c r="B23" s="33" t="n">
        <f aca="false">(Assumptions!$B$11*Assumptions!$B$36*12)*($A23-Assumptions!$B$14-(Assumptions!$B$15/Assumptions!$B$13)-Assumptions!$B$16)-Costs!$E$19</f>
        <v>1548329.28</v>
      </c>
      <c r="C23" s="33" t="n">
        <f aca="false">(Assumptions!$B$11*Assumptions!$B$36*12)*($A23-Assumptions!$B$14-(Assumptions!$B$15/Assumptions!$B$13)-Assumptions!$B$17)-Costs!$E$19</f>
        <v>1248329.28</v>
      </c>
      <c r="D23" s="33" t="n">
        <f aca="false">(Assumptions!$B$11*Assumptions!$B$36*12)*($A23-Assumptions!$B$14-(Assumptions!$B$15/Assumptions!$B$13)-Assumptions!$B$18)-Costs!$E$19</f>
        <v>648329.280000001</v>
      </c>
    </row>
    <row r="24" customFormat="false" ht="15" hidden="false" customHeight="true" outlineLevel="0" collapsed="false">
      <c r="A24" s="34" t="n">
        <f aca="false">Assumptions!$B$29</f>
        <v>0.08</v>
      </c>
      <c r="B24" s="33" t="n">
        <f aca="false">(Assumptions!$B$11*Assumptions!$B$36*12)*($A24-Assumptions!$B$14-(Assumptions!$B$15/Assumptions!$B$13)-Assumptions!$B$16)-Costs!$E$19</f>
        <v>2148329.28</v>
      </c>
      <c r="C24" s="33" t="n">
        <f aca="false">(Assumptions!$B$11*Assumptions!$B$36*12)*($A24-Assumptions!$B$14-(Assumptions!$B$15/Assumptions!$B$13)-Assumptions!$B$17)-Costs!$E$19</f>
        <v>1848329.28</v>
      </c>
      <c r="D24" s="33" t="n">
        <f aca="false">(Assumptions!$B$11*Assumptions!$B$36*12)*($A24-Assumptions!$B$14-(Assumptions!$B$15/Assumptions!$B$13)-Assumptions!$B$18)-Costs!$E$19</f>
        <v>1248329.28</v>
      </c>
    </row>
    <row r="25" customFormat="false" ht="15" hidden="false" customHeight="true" outlineLevel="0" collapsed="false">
      <c r="A25" s="34" t="n">
        <f aca="false">Assumptions!$B$30</f>
        <v>0.09</v>
      </c>
      <c r="B25" s="33" t="n">
        <f aca="false">(Assumptions!$B$11*Assumptions!$B$36*12)*($A25-Assumptions!$B$14-(Assumptions!$B$15/Assumptions!$B$13)-Assumptions!$B$16)-Costs!$E$19</f>
        <v>2748329.28</v>
      </c>
      <c r="C25" s="33" t="n">
        <f aca="false">(Assumptions!$B$11*Assumptions!$B$36*12)*($A25-Assumptions!$B$14-(Assumptions!$B$15/Assumptions!$B$13)-Assumptions!$B$17)-Costs!$E$19</f>
        <v>2448329.28</v>
      </c>
      <c r="D25" s="33" t="n">
        <f aca="false">(Assumptions!$B$11*Assumptions!$B$36*12)*($A25-Assumptions!$B$14-(Assumptions!$B$15/Assumptions!$B$13)-Assumptions!$B$18)-Costs!$E$19</f>
        <v>1848329.28</v>
      </c>
    </row>
    <row r="27" customFormat="false" ht="15" hidden="false" customHeight="true" outlineLevel="0" collapsed="false">
      <c r="A27" s="4" t="s">
        <v>195</v>
      </c>
    </row>
    <row r="29" customFormat="false" ht="15" hidden="false" customHeight="true" outlineLevel="0" collapsed="false">
      <c r="A29" s="16" t="s">
        <v>196</v>
      </c>
    </row>
    <row r="30" customFormat="false" ht="15" hidden="false" customHeight="true" outlineLevel="0" collapsed="false">
      <c r="A30" s="8" t="s">
        <v>197</v>
      </c>
      <c r="B30" s="8" t="s">
        <v>7</v>
      </c>
      <c r="C30" s="8" t="s">
        <v>9</v>
      </c>
    </row>
    <row r="31" customFormat="false" ht="15" hidden="false" customHeight="true" outlineLevel="0" collapsed="false">
      <c r="A31" s="6" t="s">
        <v>198</v>
      </c>
      <c r="B31" s="33" t="n">
        <f aca="false">Assumptions!$B$11*Assumptions!$B$36*12</f>
        <v>60000000</v>
      </c>
      <c r="C31" s="3" t="s">
        <v>199</v>
      </c>
    </row>
    <row r="32" customFormat="false" ht="15" hidden="false" customHeight="true" outlineLevel="0" collapsed="false">
      <c r="A32" s="6" t="s">
        <v>200</v>
      </c>
      <c r="B32" s="15" t="n">
        <f aca="false">IFERROR(B31/Assumptions!$B$13,0)</f>
        <v>1200000</v>
      </c>
      <c r="C32" s="3" t="s">
        <v>201</v>
      </c>
    </row>
    <row r="33" customFormat="false" ht="15" hidden="false" customHeight="true" outlineLevel="0" collapsed="false">
      <c r="A33" s="6" t="s">
        <v>202</v>
      </c>
      <c r="B33" s="15" t="n">
        <f aca="false">IFERROR(B32/365,0)</f>
        <v>3287.67123287671</v>
      </c>
      <c r="C33" s="3" t="s">
        <v>203</v>
      </c>
    </row>
    <row r="34" customFormat="false" ht="15" hidden="false" customHeight="true" outlineLevel="0" collapsed="false">
      <c r="A34" s="6" t="s">
        <v>204</v>
      </c>
      <c r="B34" s="15" t="n">
        <f aca="false">IFERROR(Assumptions!$B$36/Costs!$E$17,0)</f>
        <v>3333.33333333333</v>
      </c>
      <c r="C34" s="3" t="s">
        <v>205</v>
      </c>
    </row>
    <row r="35" customFormat="false" ht="15" hidden="false" customHeight="true" outlineLevel="0" collapsed="false">
      <c r="A35" s="6" t="s">
        <v>206</v>
      </c>
      <c r="B35" s="33" t="n">
        <f aca="false">B31*Assumptions!$B$17</f>
        <v>600000</v>
      </c>
      <c r="C35" s="3" t="s">
        <v>207</v>
      </c>
    </row>
    <row r="36" customFormat="false" ht="15" hidden="false" customHeight="true" outlineLevel="0" collapsed="false">
      <c r="A36" s="6" t="s">
        <v>208</v>
      </c>
      <c r="B36" s="33" t="n">
        <f aca="false">Costs!$E$18</f>
        <v>240000</v>
      </c>
      <c r="C36" s="3" t="s">
        <v>209</v>
      </c>
    </row>
    <row r="37" customFormat="false" ht="15" hidden="false" customHeight="true" outlineLevel="0" collapsed="false">
      <c r="A37" s="6" t="s">
        <v>210</v>
      </c>
      <c r="B37" s="42" t="n">
        <f aca="false">IFERROR(B35/B36,0)</f>
        <v>2.5</v>
      </c>
      <c r="C37" s="3" t="s">
        <v>211</v>
      </c>
    </row>
    <row r="40" customFormat="false" ht="15" hidden="false" customHeight="true" outlineLevel="0" collapsed="false">
      <c r="A40" s="16" t="s">
        <v>212</v>
      </c>
    </row>
    <row r="41" customFormat="false" ht="15" hidden="false" customHeight="true" outlineLevel="0" collapsed="false">
      <c r="A41" s="3" t="s">
        <v>213</v>
      </c>
    </row>
    <row r="42" customFormat="false" ht="15" hidden="false" customHeight="true" outlineLevel="0" collapsed="false">
      <c r="A42" s="4" t="s">
        <v>214</v>
      </c>
    </row>
    <row r="43" customFormat="false" ht="15" hidden="false" customHeight="true" outlineLevel="0" collapsed="false">
      <c r="A43" s="4" t="s">
        <v>215</v>
      </c>
    </row>
    <row r="44" customFormat="false" ht="15" hidden="false" customHeight="true" outlineLevel="0" collapsed="false">
      <c r="A44" s="3"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3"/>
    <col collapsed="false" customWidth="true" hidden="false" outlineLevel="0" max="8" min="8" style="0" width="95"/>
  </cols>
  <sheetData>
    <row r="1" customFormat="false" ht="17.35" hidden="false" customHeight="false" outlineLevel="0" collapsed="false">
      <c r="A1" s="43" t="s">
        <v>217</v>
      </c>
    </row>
    <row r="2" customFormat="false" ht="15" hidden="false" customHeight="false" outlineLevel="0" collapsed="false">
      <c r="A2" s="44" t="s">
        <v>218</v>
      </c>
    </row>
    <row r="3" customFormat="false" ht="15" hidden="false" customHeight="false" outlineLevel="0" collapsed="false">
      <c r="A3" s="44" t="s">
        <v>219</v>
      </c>
    </row>
    <row r="4" customFormat="false" ht="15" hidden="false" customHeight="false" outlineLevel="0" collapsed="false">
      <c r="A4" s="45" t="s">
        <v>220</v>
      </c>
    </row>
    <row r="6" customFormat="false" ht="27.75" hidden="false" customHeight="true" outlineLevel="0" collapsed="false">
      <c r="A6" s="23" t="s">
        <v>65</v>
      </c>
      <c r="B6" s="23" t="s">
        <v>67</v>
      </c>
      <c r="C6" s="23" t="s">
        <v>68</v>
      </c>
      <c r="D6" s="23" t="s">
        <v>69</v>
      </c>
      <c r="E6" s="23" t="s">
        <v>70</v>
      </c>
      <c r="F6" s="23" t="s">
        <v>221</v>
      </c>
      <c r="G6" s="23" t="s">
        <v>222</v>
      </c>
      <c r="H6" s="23" t="s">
        <v>223</v>
      </c>
    </row>
    <row r="7" customFormat="false" ht="15" hidden="false" customHeight="false" outlineLevel="0" collapsed="false">
      <c r="A7" s="44" t="s">
        <v>224</v>
      </c>
      <c r="B7" s="46" t="n">
        <v>25</v>
      </c>
      <c r="C7" s="46" t="n">
        <v>25</v>
      </c>
      <c r="D7" s="46" t="n">
        <v>25</v>
      </c>
      <c r="E7" s="46" t="n">
        <v>499</v>
      </c>
      <c r="F7" s="46" t="n">
        <v>499</v>
      </c>
      <c r="G7" s="46" t="n">
        <v>499</v>
      </c>
      <c r="H7" s="47" t="s">
        <v>225</v>
      </c>
    </row>
    <row r="8" customFormat="false" ht="15" hidden="false" customHeight="false" outlineLevel="0" collapsed="false">
      <c r="A8" s="44" t="s">
        <v>226</v>
      </c>
      <c r="B8" s="48" t="n">
        <f aca="false">B25*B26</f>
        <v>25</v>
      </c>
      <c r="C8" s="48" t="n">
        <f aca="false">C25*C26</f>
        <v>25</v>
      </c>
      <c r="D8" s="48" t="n">
        <f aca="false">D25*D26</f>
        <v>170</v>
      </c>
      <c r="E8" s="48" t="n">
        <f aca="false">E25*E26</f>
        <v>450</v>
      </c>
      <c r="F8" s="48" t="n">
        <f aca="false">F25*F26</f>
        <v>900</v>
      </c>
      <c r="G8" s="48" t="n">
        <f aca="false">G25*G26</f>
        <v>1350</v>
      </c>
      <c r="H8" s="47" t="s">
        <v>227</v>
      </c>
    </row>
    <row r="9" customFormat="false" ht="15" hidden="false" customHeight="false" outlineLevel="0" collapsed="false">
      <c r="A9" s="44" t="s">
        <v>228</v>
      </c>
      <c r="B9" s="48" t="n">
        <f aca="false">B28+B30</f>
        <v>19</v>
      </c>
      <c r="C9" s="48" t="n">
        <f aca="false">C28+C30</f>
        <v>41.2</v>
      </c>
      <c r="D9" s="48" t="n">
        <f aca="false">D28+D30</f>
        <v>107.2</v>
      </c>
      <c r="E9" s="48" t="n">
        <f aca="false">E28+E30</f>
        <v>394.7</v>
      </c>
      <c r="F9" s="48" t="n">
        <f aca="false">F28+F30</f>
        <v>839.7</v>
      </c>
      <c r="G9" s="48" t="n">
        <f aca="false">G28+G30</f>
        <v>1679.7</v>
      </c>
      <c r="H9" s="47" t="s">
        <v>229</v>
      </c>
    </row>
    <row r="10" customFormat="false" ht="15" hidden="false" customHeight="false" outlineLevel="0" collapsed="false">
      <c r="A10" s="44" t="s">
        <v>230</v>
      </c>
      <c r="B10" s="48" t="n">
        <f aca="false">MAX(0,B31-B32)*$B$39</f>
        <v>0</v>
      </c>
      <c r="C10" s="48" t="n">
        <f aca="false">MAX(0,C31-C32)*$B$39</f>
        <v>0</v>
      </c>
      <c r="D10" s="48" t="n">
        <f aca="false">MAX(0,D31-D32)*$B$39</f>
        <v>11.25</v>
      </c>
      <c r="E10" s="48" t="n">
        <f aca="false">MAX(0,E31-E32)*$B$39</f>
        <v>0</v>
      </c>
      <c r="F10" s="48" t="n">
        <f aca="false">MAX(0,F31-F32)*$B$39</f>
        <v>86.4</v>
      </c>
      <c r="G10" s="48" t="n">
        <f aca="false">MAX(0,G31-G32)*$B$39</f>
        <v>326.4</v>
      </c>
      <c r="H10" s="47" t="s">
        <v>231</v>
      </c>
    </row>
    <row r="11" customFormat="false" ht="15" hidden="false" customHeight="false" outlineLevel="0" collapsed="false">
      <c r="A11" s="44" t="s">
        <v>232</v>
      </c>
      <c r="B11" s="48" t="n">
        <f aca="false">B34+B35</f>
        <v>0</v>
      </c>
      <c r="C11" s="48" t="n">
        <f aca="false">C34+C35</f>
        <v>0.6</v>
      </c>
      <c r="D11" s="48" t="n">
        <f aca="false">D34+D35</f>
        <v>9.35</v>
      </c>
      <c r="E11" s="48" t="n">
        <f aca="false">E34+E35</f>
        <v>94.85</v>
      </c>
      <c r="F11" s="48" t="n">
        <f aca="false">F34+F35</f>
        <v>189.85</v>
      </c>
      <c r="G11" s="48" t="n">
        <f aca="false">G34+G35</f>
        <v>379.85</v>
      </c>
      <c r="H11" s="47" t="s">
        <v>233</v>
      </c>
    </row>
    <row r="12" customFormat="false" ht="15" hidden="false" customHeight="false" outlineLevel="0" collapsed="false">
      <c r="A12" s="44" t="s">
        <v>234</v>
      </c>
      <c r="B12" s="46" t="n">
        <v>0</v>
      </c>
      <c r="C12" s="46" t="n">
        <v>0</v>
      </c>
      <c r="D12" s="46" t="n">
        <v>20</v>
      </c>
      <c r="E12" s="46" t="n">
        <v>20</v>
      </c>
      <c r="F12" s="46" t="n">
        <v>20</v>
      </c>
      <c r="G12" s="46" t="n">
        <v>20</v>
      </c>
      <c r="H12" s="47" t="s">
        <v>235</v>
      </c>
    </row>
    <row r="13" customFormat="false" ht="15" hidden="false" customHeight="false" outlineLevel="0" collapsed="false">
      <c r="A13" s="44" t="s">
        <v>77</v>
      </c>
      <c r="B13" s="46" t="n">
        <v>30</v>
      </c>
      <c r="C13" s="46" t="n">
        <v>30</v>
      </c>
      <c r="D13" s="46" t="n">
        <v>60</v>
      </c>
      <c r="E13" s="46" t="n">
        <v>60</v>
      </c>
      <c r="F13" s="46" t="n">
        <v>90</v>
      </c>
      <c r="G13" s="46" t="n">
        <v>120</v>
      </c>
      <c r="H13" s="47" t="s">
        <v>236</v>
      </c>
    </row>
    <row r="14" customFormat="false" ht="15" hidden="false" customHeight="false" outlineLevel="0" collapsed="false">
      <c r="A14" s="44" t="s">
        <v>237</v>
      </c>
      <c r="B14" s="46" t="n">
        <v>0</v>
      </c>
      <c r="C14" s="46" t="n">
        <v>0</v>
      </c>
      <c r="D14" s="46" t="n">
        <v>16</v>
      </c>
      <c r="E14" s="46" t="n">
        <v>16</v>
      </c>
      <c r="F14" s="46" t="n">
        <v>40</v>
      </c>
      <c r="G14" s="46" t="n">
        <v>60</v>
      </c>
      <c r="H14" s="47" t="s">
        <v>238</v>
      </c>
    </row>
    <row r="15" customFormat="false" ht="15" hidden="false" customHeight="false" outlineLevel="0" collapsed="false">
      <c r="A15" s="44" t="s">
        <v>81</v>
      </c>
      <c r="B15" s="46" t="n">
        <v>1.56</v>
      </c>
      <c r="C15" s="46" t="n">
        <v>1.56</v>
      </c>
      <c r="D15" s="46" t="n">
        <v>1.56</v>
      </c>
      <c r="E15" s="46" t="n">
        <v>1.56</v>
      </c>
      <c r="F15" s="46" t="n">
        <v>1.56</v>
      </c>
      <c r="G15" s="46" t="n">
        <v>1.56</v>
      </c>
      <c r="H15" s="47" t="s">
        <v>82</v>
      </c>
    </row>
    <row r="16" customFormat="false" ht="15" hidden="false" customHeight="false" outlineLevel="0" collapsed="false">
      <c r="A16" s="44" t="s">
        <v>239</v>
      </c>
      <c r="B16" s="46" t="n">
        <v>0</v>
      </c>
      <c r="C16" s="46" t="n">
        <v>0</v>
      </c>
      <c r="D16" s="46" t="n">
        <v>0</v>
      </c>
      <c r="E16" s="46" t="n">
        <v>0</v>
      </c>
      <c r="F16" s="46" t="n">
        <v>0</v>
      </c>
      <c r="G16" s="46" t="n">
        <v>0</v>
      </c>
      <c r="H16" s="47" t="s">
        <v>240</v>
      </c>
    </row>
    <row r="17" customFormat="false" ht="15" hidden="false" customHeight="false" outlineLevel="0" collapsed="false">
      <c r="A17" s="44" t="s">
        <v>85</v>
      </c>
      <c r="B17" s="46" t="n">
        <v>0</v>
      </c>
      <c r="C17" s="46" t="n">
        <v>0</v>
      </c>
      <c r="D17" s="46" t="n">
        <v>0</v>
      </c>
      <c r="E17" s="46" t="n">
        <v>100</v>
      </c>
      <c r="F17" s="46" t="n">
        <v>200</v>
      </c>
      <c r="G17" s="46" t="n">
        <v>400</v>
      </c>
      <c r="H17" s="47" t="s">
        <v>241</v>
      </c>
    </row>
    <row r="18" customFormat="false" ht="15" hidden="false" customHeight="false" outlineLevel="0" collapsed="false">
      <c r="A18" s="44" t="s">
        <v>242</v>
      </c>
      <c r="B18" s="46" t="n">
        <v>200</v>
      </c>
      <c r="C18" s="46" t="n">
        <v>200</v>
      </c>
      <c r="D18" s="46" t="n">
        <v>400</v>
      </c>
      <c r="E18" s="46" t="n">
        <v>400</v>
      </c>
      <c r="F18" s="46" t="n">
        <v>600</v>
      </c>
      <c r="G18" s="46" t="n">
        <v>800</v>
      </c>
      <c r="H18" s="47" t="s">
        <v>243</v>
      </c>
    </row>
    <row r="19" customFormat="false" ht="15" hidden="false" customHeight="false" outlineLevel="0" collapsed="false">
      <c r="A19" s="49" t="s">
        <v>244</v>
      </c>
      <c r="B19" s="50" t="n">
        <f aca="false">SUM(B7:B18)</f>
        <v>300.56</v>
      </c>
      <c r="C19" s="50" t="n">
        <f aca="false">SUM(C7:C18)</f>
        <v>323.36</v>
      </c>
      <c r="D19" s="50" t="n">
        <f aca="false">SUM(D7:D18)</f>
        <v>820.36</v>
      </c>
      <c r="E19" s="50" t="n">
        <f aca="false">SUM(E7:E18)</f>
        <v>2036.11</v>
      </c>
      <c r="F19" s="50" t="n">
        <f aca="false">SUM(F7:F18)</f>
        <v>3466.51</v>
      </c>
      <c r="G19" s="50" t="n">
        <f aca="false">SUM(G7:G18)</f>
        <v>5636.51</v>
      </c>
      <c r="H19" s="47" t="s">
        <v>245</v>
      </c>
    </row>
    <row r="20" customFormat="false" ht="15" hidden="false" customHeight="false" outlineLevel="0" collapsed="false">
      <c r="A20" s="49" t="s">
        <v>246</v>
      </c>
      <c r="B20" s="51" t="n">
        <f aca="false">B19*12</f>
        <v>3606.72</v>
      </c>
      <c r="C20" s="51" t="n">
        <f aca="false">C19*12</f>
        <v>3880.32</v>
      </c>
      <c r="D20" s="51" t="n">
        <f aca="false">D19*12</f>
        <v>9844.32</v>
      </c>
      <c r="E20" s="51" t="n">
        <f aca="false">E19*12</f>
        <v>24433.32</v>
      </c>
      <c r="F20" s="51" t="n">
        <f aca="false">F19*12</f>
        <v>41598.12</v>
      </c>
      <c r="G20" s="51" t="n">
        <f aca="false">G19*12</f>
        <v>67638.12</v>
      </c>
      <c r="H20" s="47" t="s">
        <v>247</v>
      </c>
    </row>
    <row r="22" customFormat="false" ht="15" hidden="false" customHeight="false" outlineLevel="0" collapsed="false">
      <c r="A22" s="52" t="s">
        <v>248</v>
      </c>
    </row>
    <row r="23" customFormat="false" ht="15" hidden="false" customHeight="false" outlineLevel="0" collapsed="false">
      <c r="A23" s="44" t="s">
        <v>249</v>
      </c>
      <c r="B23" s="53" t="s">
        <v>250</v>
      </c>
      <c r="C23" s="53" t="s">
        <v>250</v>
      </c>
      <c r="D23" s="53" t="s">
        <v>250</v>
      </c>
      <c r="E23" s="53" t="s">
        <v>251</v>
      </c>
      <c r="F23" s="53" t="s">
        <v>251</v>
      </c>
      <c r="G23" s="53" t="s">
        <v>251</v>
      </c>
      <c r="H23" s="47" t="s">
        <v>252</v>
      </c>
    </row>
    <row r="24" customFormat="false" ht="15" hidden="false" customHeight="false" outlineLevel="0" collapsed="false">
      <c r="A24" s="44" t="s">
        <v>253</v>
      </c>
      <c r="B24" s="53" t="s">
        <v>254</v>
      </c>
      <c r="C24" s="53" t="s">
        <v>254</v>
      </c>
      <c r="D24" s="53" t="s">
        <v>255</v>
      </c>
      <c r="E24" s="53" t="s">
        <v>256</v>
      </c>
      <c r="F24" s="53" t="s">
        <v>257</v>
      </c>
      <c r="G24" s="53" t="s">
        <v>257</v>
      </c>
      <c r="H24" s="47" t="s">
        <v>258</v>
      </c>
    </row>
    <row r="25" customFormat="false" ht="15" hidden="false" customHeight="false" outlineLevel="0" collapsed="false">
      <c r="A25" s="44" t="s">
        <v>259</v>
      </c>
      <c r="B25" s="46" t="n">
        <v>25</v>
      </c>
      <c r="C25" s="46" t="n">
        <v>25</v>
      </c>
      <c r="D25" s="46" t="n">
        <v>85</v>
      </c>
      <c r="E25" s="46" t="n">
        <v>225</v>
      </c>
      <c r="F25" s="46" t="n">
        <v>450</v>
      </c>
      <c r="G25" s="46" t="n">
        <v>450</v>
      </c>
      <c r="H25" s="47" t="s">
        <v>260</v>
      </c>
    </row>
    <row r="26" customFormat="false" ht="15" hidden="false" customHeight="false" outlineLevel="0" collapsed="false">
      <c r="A26" s="44" t="s">
        <v>261</v>
      </c>
      <c r="B26" s="54" t="n">
        <v>1</v>
      </c>
      <c r="C26" s="54" t="n">
        <v>1</v>
      </c>
      <c r="D26" s="54" t="n">
        <v>2</v>
      </c>
      <c r="E26" s="54" t="n">
        <v>2</v>
      </c>
      <c r="F26" s="54" t="n">
        <v>2</v>
      </c>
      <c r="G26" s="54" t="n">
        <v>3</v>
      </c>
      <c r="H26" s="47" t="s">
        <v>262</v>
      </c>
    </row>
    <row r="27" customFormat="false" ht="15" hidden="false" customHeight="false" outlineLevel="0" collapsed="false">
      <c r="A27" s="44" t="s">
        <v>263</v>
      </c>
      <c r="B27" s="53" t="s">
        <v>264</v>
      </c>
      <c r="C27" s="53" t="s">
        <v>254</v>
      </c>
      <c r="D27" s="53" t="s">
        <v>265</v>
      </c>
      <c r="E27" s="53" t="s">
        <v>266</v>
      </c>
      <c r="F27" s="53" t="s">
        <v>267</v>
      </c>
      <c r="G27" s="53" t="s">
        <v>268</v>
      </c>
      <c r="H27" s="47" t="s">
        <v>269</v>
      </c>
    </row>
    <row r="28" customFormat="false" ht="15" hidden="false" customHeight="false" outlineLevel="0" collapsed="false">
      <c r="A28" s="44" t="s">
        <v>270</v>
      </c>
      <c r="B28" s="46" t="n">
        <v>19</v>
      </c>
      <c r="C28" s="46" t="n">
        <v>40</v>
      </c>
      <c r="D28" s="46" t="n">
        <v>100</v>
      </c>
      <c r="E28" s="46" t="n">
        <v>350</v>
      </c>
      <c r="F28" s="46" t="n">
        <v>750</v>
      </c>
      <c r="G28" s="46" t="n">
        <v>1500</v>
      </c>
      <c r="H28" s="47" t="s">
        <v>271</v>
      </c>
    </row>
    <row r="29" customFormat="false" ht="15" hidden="false" customHeight="false" outlineLevel="0" collapsed="false">
      <c r="A29" s="44" t="s">
        <v>272</v>
      </c>
      <c r="B29" s="54" t="n">
        <v>1</v>
      </c>
      <c r="C29" s="54" t="n">
        <v>5</v>
      </c>
      <c r="D29" s="54" t="n">
        <v>25</v>
      </c>
      <c r="E29" s="54" t="n">
        <v>150</v>
      </c>
      <c r="F29" s="54" t="n">
        <v>300</v>
      </c>
      <c r="G29" s="54" t="n">
        <v>600</v>
      </c>
      <c r="H29" s="47" t="s">
        <v>273</v>
      </c>
    </row>
    <row r="30" customFormat="false" ht="15" hidden="false" customHeight="false" outlineLevel="0" collapsed="false">
      <c r="A30" s="44" t="s">
        <v>274</v>
      </c>
      <c r="B30" s="48" t="n">
        <f aca="false">MAX(0,B29-1)*$B$38</f>
        <v>0</v>
      </c>
      <c r="C30" s="48" t="n">
        <f aca="false">MAX(0,C29-1)*$B$38</f>
        <v>1.2</v>
      </c>
      <c r="D30" s="48" t="n">
        <f aca="false">MAX(0,D29-1)*$B$38</f>
        <v>7.2</v>
      </c>
      <c r="E30" s="48" t="n">
        <f aca="false">MAX(0,E29-1)*$B$38</f>
        <v>44.7</v>
      </c>
      <c r="F30" s="48" t="n">
        <f aca="false">MAX(0,F29-1)*$B$38</f>
        <v>89.7</v>
      </c>
      <c r="G30" s="48" t="n">
        <f aca="false">MAX(0,G29-1)*$B$38</f>
        <v>179.7</v>
      </c>
      <c r="H30" s="47" t="s">
        <v>275</v>
      </c>
    </row>
    <row r="31" customFormat="false" ht="15" hidden="false" customHeight="false" outlineLevel="0" collapsed="false">
      <c r="A31" s="44" t="s">
        <v>276</v>
      </c>
      <c r="B31" s="54" t="n">
        <v>1</v>
      </c>
      <c r="C31" s="54" t="n">
        <v>10</v>
      </c>
      <c r="D31" s="54" t="n">
        <v>100</v>
      </c>
      <c r="E31" s="54" t="n">
        <v>800</v>
      </c>
      <c r="F31" s="54" t="n">
        <v>1600</v>
      </c>
      <c r="G31" s="54" t="n">
        <v>3200</v>
      </c>
      <c r="H31" s="47" t="s">
        <v>277</v>
      </c>
    </row>
    <row r="32" customFormat="false" ht="15" hidden="false" customHeight="false" outlineLevel="0" collapsed="false">
      <c r="A32" s="44" t="s">
        <v>278</v>
      </c>
      <c r="B32" s="54" t="n">
        <v>25</v>
      </c>
      <c r="C32" s="54" t="n">
        <v>25</v>
      </c>
      <c r="D32" s="54" t="n">
        <v>25</v>
      </c>
      <c r="E32" s="54" t="n">
        <v>1024</v>
      </c>
      <c r="F32" s="54" t="n">
        <v>1024</v>
      </c>
      <c r="G32" s="54" t="n">
        <v>1024</v>
      </c>
      <c r="H32" s="47" t="s">
        <v>279</v>
      </c>
    </row>
    <row r="33" customFormat="false" ht="15" hidden="false" customHeight="false" outlineLevel="0" collapsed="false">
      <c r="A33" s="44" t="s">
        <v>280</v>
      </c>
      <c r="B33" s="54" t="n">
        <v>5</v>
      </c>
      <c r="C33" s="54" t="n">
        <v>50</v>
      </c>
      <c r="D33" s="54" t="n">
        <v>500</v>
      </c>
      <c r="E33" s="54" t="n">
        <v>5000</v>
      </c>
      <c r="F33" s="54" t="n">
        <v>10000</v>
      </c>
      <c r="G33" s="54" t="n">
        <v>20000</v>
      </c>
      <c r="H33" s="47" t="s">
        <v>281</v>
      </c>
    </row>
    <row r="34" customFormat="false" ht="15" hidden="false" customHeight="false" outlineLevel="0" collapsed="false">
      <c r="A34" s="44" t="s">
        <v>282</v>
      </c>
      <c r="B34" s="48" t="n">
        <f aca="false">MAX(0,B33-$B$41)*$B$40</f>
        <v>0</v>
      </c>
      <c r="C34" s="48" t="n">
        <f aca="false">MAX(0,C33-$B$41)*$B$40</f>
        <v>0.6</v>
      </c>
      <c r="D34" s="48" t="n">
        <f aca="false">MAX(0,D33-$B$41)*$B$40</f>
        <v>7.35</v>
      </c>
      <c r="E34" s="48" t="n">
        <f aca="false">MAX(0,E33-$B$41)*$B$40</f>
        <v>74.85</v>
      </c>
      <c r="F34" s="48" t="n">
        <f aca="false">MAX(0,F33-$B$41)*$B$40</f>
        <v>149.85</v>
      </c>
      <c r="G34" s="48" t="n">
        <f aca="false">MAX(0,G33-$B$41)*$B$40</f>
        <v>299.85</v>
      </c>
      <c r="H34" s="47" t="s">
        <v>283</v>
      </c>
    </row>
    <row r="35" customFormat="false" ht="15" hidden="false" customHeight="false" outlineLevel="0" collapsed="false">
      <c r="A35" s="44" t="s">
        <v>284</v>
      </c>
      <c r="B35" s="46" t="n">
        <v>0</v>
      </c>
      <c r="C35" s="46" t="n">
        <v>0</v>
      </c>
      <c r="D35" s="46" t="n">
        <v>2</v>
      </c>
      <c r="E35" s="46" t="n">
        <v>20</v>
      </c>
      <c r="F35" s="46" t="n">
        <v>40</v>
      </c>
      <c r="G35" s="46" t="n">
        <v>80</v>
      </c>
      <c r="H35" s="47" t="s">
        <v>285</v>
      </c>
    </row>
    <row r="37" customFormat="false" ht="15" hidden="false" customHeight="false" outlineLevel="0" collapsed="false">
      <c r="A37" s="52" t="s">
        <v>286</v>
      </c>
    </row>
    <row r="38" customFormat="false" ht="15" hidden="false" customHeight="false" outlineLevel="0" collapsed="false">
      <c r="A38" s="44" t="s">
        <v>287</v>
      </c>
      <c r="B38" s="46" t="n">
        <v>0.3</v>
      </c>
      <c r="H38" s="47" t="s">
        <v>288</v>
      </c>
    </row>
    <row r="39" customFormat="false" ht="15" hidden="false" customHeight="false" outlineLevel="0" collapsed="false">
      <c r="A39" s="44" t="s">
        <v>289</v>
      </c>
      <c r="B39" s="46" t="n">
        <v>0.15</v>
      </c>
      <c r="H39" s="47" t="s">
        <v>290</v>
      </c>
    </row>
    <row r="40" customFormat="false" ht="15" hidden="false" customHeight="false" outlineLevel="0" collapsed="false">
      <c r="A40" s="44" t="s">
        <v>291</v>
      </c>
      <c r="B40" s="55" t="n">
        <v>0.015</v>
      </c>
      <c r="H40" s="47" t="s">
        <v>292</v>
      </c>
    </row>
    <row r="41" customFormat="false" ht="15" hidden="false" customHeight="false" outlineLevel="0" collapsed="false">
      <c r="A41" s="44" t="s">
        <v>293</v>
      </c>
      <c r="B41" s="54" t="n">
        <v>10</v>
      </c>
      <c r="H41" s="47" t="s">
        <v>294</v>
      </c>
    </row>
    <row r="43" customFormat="false" ht="15" hidden="false" customHeight="false" outlineLevel="0" collapsed="false">
      <c r="A43" s="52" t="s">
        <v>295</v>
      </c>
    </row>
    <row r="44" customFormat="false" ht="27.75" hidden="false" customHeight="true" outlineLevel="0" collapsed="false">
      <c r="A44" s="23" t="s">
        <v>296</v>
      </c>
      <c r="B44" s="23" t="s">
        <v>67</v>
      </c>
      <c r="C44" s="23" t="s">
        <v>68</v>
      </c>
      <c r="D44" s="23" t="s">
        <v>69</v>
      </c>
      <c r="E44" s="23" t="s">
        <v>70</v>
      </c>
      <c r="F44" s="23" t="s">
        <v>221</v>
      </c>
      <c r="G44" s="23" t="s">
        <v>222</v>
      </c>
      <c r="H44" s="23" t="s">
        <v>9</v>
      </c>
    </row>
    <row r="45" customFormat="false" ht="15" hidden="false" customHeight="false" outlineLevel="0" collapsed="false">
      <c r="A45" s="44" t="s">
        <v>297</v>
      </c>
      <c r="B45" s="56" t="n">
        <f aca="false">Costs!B$16</f>
        <v>3138.72</v>
      </c>
      <c r="C45" s="56" t="n">
        <f aca="false">Costs!C$16</f>
        <v>3138.72</v>
      </c>
      <c r="D45" s="56" t="n">
        <f aca="false">Costs!D$16</f>
        <v>6870.72</v>
      </c>
      <c r="E45" s="56" t="n">
        <f aca="false">Costs!E$16</f>
        <v>11670.72</v>
      </c>
      <c r="F45" s="44" t="s">
        <v>298</v>
      </c>
      <c r="G45" s="44" t="s">
        <v>298</v>
      </c>
      <c r="H45" s="47" t="s">
        <v>299</v>
      </c>
    </row>
    <row r="46" customFormat="false" ht="15" hidden="false" customHeight="false" outlineLevel="0" collapsed="false">
      <c r="A46" s="44" t="s">
        <v>300</v>
      </c>
      <c r="B46" s="57" t="n">
        <f aca="false">B20</f>
        <v>3606.72</v>
      </c>
      <c r="C46" s="57" t="n">
        <f aca="false">C20</f>
        <v>3880.32</v>
      </c>
      <c r="D46" s="57" t="n">
        <f aca="false">D20</f>
        <v>9844.32</v>
      </c>
      <c r="E46" s="57" t="n">
        <f aca="false">E20</f>
        <v>24433.32</v>
      </c>
      <c r="F46" s="57" t="n">
        <f aca="false">F20</f>
        <v>41598.12</v>
      </c>
      <c r="G46" s="57" t="n">
        <f aca="false">G20</f>
        <v>67638.12</v>
      </c>
      <c r="H46" s="47" t="s">
        <v>301</v>
      </c>
    </row>
    <row r="47" customFormat="false" ht="15" hidden="false" customHeight="false" outlineLevel="0" collapsed="false">
      <c r="A47" s="49" t="s">
        <v>302</v>
      </c>
      <c r="B47" s="58" t="n">
        <f aca="false">B46-B45</f>
        <v>468</v>
      </c>
      <c r="C47" s="58" t="n">
        <f aca="false">C46-C45</f>
        <v>741.6</v>
      </c>
      <c r="D47" s="58" t="n">
        <f aca="false">D46-D45</f>
        <v>2973.6</v>
      </c>
      <c r="E47" s="58" t="n">
        <f aca="false">E46-E45</f>
        <v>12762.6</v>
      </c>
      <c r="F47" s="44" t="s">
        <v>303</v>
      </c>
      <c r="G47" s="44" t="s">
        <v>303</v>
      </c>
      <c r="H47" s="47" t="s">
        <v>304</v>
      </c>
    </row>
    <row r="48" customFormat="false" ht="15" hidden="false" customHeight="false" outlineLevel="0" collapsed="false">
      <c r="A48" s="49" t="s">
        <v>305</v>
      </c>
      <c r="B48" s="59" t="n">
        <f aca="false">IFERROR(B46/B45,0)</f>
        <v>1.14910536779324</v>
      </c>
      <c r="C48" s="59" t="n">
        <f aca="false">IFERROR(C46/C45,0)</f>
        <v>1.2362746597339</v>
      </c>
      <c r="D48" s="59" t="n">
        <f aca="false">IFERROR(D46/D45,0)</f>
        <v>1.43279306972195</v>
      </c>
      <c r="E48" s="59" t="n">
        <f aca="false">IFERROR(E46/E45,0)</f>
        <v>2.09355720983795</v>
      </c>
      <c r="F48" s="44" t="s">
        <v>303</v>
      </c>
      <c r="G48" s="44" t="s">
        <v>303</v>
      </c>
    </row>
    <row r="50" customFormat="false" ht="15" hidden="false" customHeight="false" outlineLevel="0" collapsed="false">
      <c r="A50" s="60" t="s">
        <v>306</v>
      </c>
    </row>
    <row r="51" customFormat="false" ht="15" hidden="false" customHeight="false" outlineLevel="0" collapsed="false">
      <c r="A51" s="60" t="s">
        <v>307</v>
      </c>
    </row>
    <row r="52" customFormat="false" ht="15" hidden="false" customHeight="false" outlineLevel="0" collapsed="false">
      <c r="A52" s="60" t="s">
        <v>308</v>
      </c>
    </row>
    <row r="53" customFormat="false" ht="15" hidden="false" customHeight="false" outlineLevel="0" collapsed="false">
      <c r="A53" s="60" t="s">
        <v>309</v>
      </c>
    </row>
    <row r="54" customFormat="false" ht="15" hidden="false" customHeight="false" outlineLevel="0" collapsed="false">
      <c r="A54" s="60"/>
    </row>
    <row r="55" customFormat="false" ht="15" hidden="false" customHeight="false" outlineLevel="0" collapsed="false">
      <c r="A55" s="61" t="s">
        <v>310</v>
      </c>
    </row>
    <row r="56" customFormat="false" ht="15" hidden="false" customHeight="false" outlineLevel="0" collapsed="false">
      <c r="A56" s="60" t="s">
        <v>311</v>
      </c>
    </row>
    <row r="57" customFormat="false" ht="15" hidden="false" customHeight="false" outlineLevel="0" collapsed="false">
      <c r="A57" s="60" t="s">
        <v>312</v>
      </c>
    </row>
    <row r="58" customFormat="false" ht="15" hidden="false" customHeight="false" outlineLevel="0" collapsed="false">
      <c r="A58" s="60" t="s">
        <v>313</v>
      </c>
    </row>
    <row r="59" customFormat="false" ht="15" hidden="false" customHeight="false" outlineLevel="0" collapsed="false">
      <c r="A59" s="60" t="s">
        <v>314</v>
      </c>
    </row>
    <row r="60" customFormat="false" ht="15" hidden="false" customHeight="false" outlineLevel="0" collapsed="false">
      <c r="A60" s="60" t="s">
        <v>315</v>
      </c>
    </row>
    <row r="61" customFormat="false" ht="15" hidden="false" customHeight="false" outlineLevel="0" collapsed="false">
      <c r="A61" s="60"/>
    </row>
    <row r="62" customFormat="false" ht="15" hidden="false" customHeight="false" outlineLevel="0" collapsed="false">
      <c r="A62" s="60" t="s">
        <v>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5"/>
    <col collapsed="false" customWidth="true" hidden="false" outlineLevel="0" max="3" min="3" style="0" width="14"/>
    <col collapsed="false" customWidth="true" hidden="false" outlineLevel="0" max="4" min="4" style="0" width="16"/>
    <col collapsed="false" customWidth="true" hidden="false" outlineLevel="0" max="5" min="5" style="0" width="15"/>
    <col collapsed="false" customWidth="true" hidden="false" outlineLevel="0" max="6" min="6" style="0" width="13"/>
    <col collapsed="false" customWidth="true" hidden="false" outlineLevel="0" max="7" min="7" style="0" width="12"/>
    <col collapsed="false" customWidth="true" hidden="false" outlineLevel="0" max="8" min="8" style="0" width="13"/>
    <col collapsed="false" customWidth="true" hidden="false" outlineLevel="0" max="9" min="9" style="0" width="14"/>
    <col collapsed="false" customWidth="true" hidden="false" outlineLevel="0" max="10" min="10" style="0" width="12"/>
    <col collapsed="false" customWidth="true" hidden="false" outlineLevel="0" max="11" min="11" style="0" width="8"/>
    <col collapsed="false" customWidth="true" hidden="false" outlineLevel="0" max="12" min="12" style="0" width="13"/>
    <col collapsed="false" customWidth="true" hidden="false" outlineLevel="0" max="13" min="13" style="0" width="7"/>
    <col collapsed="false" customWidth="true" hidden="false" outlineLevel="0" max="14" min="14" style="0" width="13"/>
    <col collapsed="false" customWidth="true" hidden="false" outlineLevel="0" max="15" min="15" style="0" width="7"/>
    <col collapsed="false" customWidth="true" hidden="false" outlineLevel="0" max="16" min="16" style="0" width="14"/>
    <col collapsed="false" customWidth="true" hidden="false" outlineLevel="0" max="19" min="17" style="0" width="15"/>
    <col collapsed="false" customWidth="true" hidden="false" outlineLevel="0" max="21" min="20" style="0" width="10"/>
    <col collapsed="false" customWidth="true" hidden="false" outlineLevel="0" max="22" min="22" style="0" width="16"/>
  </cols>
  <sheetData>
    <row r="1" customFormat="false" ht="17.35" hidden="false" customHeight="false" outlineLevel="0" collapsed="false">
      <c r="A1" s="43" t="s">
        <v>317</v>
      </c>
    </row>
    <row r="2" customFormat="false" ht="15" hidden="false" customHeight="false" outlineLevel="0" collapsed="false">
      <c r="A2" s="44" t="s">
        <v>318</v>
      </c>
    </row>
    <row r="3" customFormat="false" ht="15" hidden="false" customHeight="false" outlineLevel="0" collapsed="false">
      <c r="A3" s="44" t="s">
        <v>319</v>
      </c>
    </row>
    <row r="4" customFormat="false" ht="15" hidden="false" customHeight="false" outlineLevel="0" collapsed="false">
      <c r="A4" s="45" t="s">
        <v>320</v>
      </c>
    </row>
    <row r="6" customFormat="false" ht="30" hidden="false" customHeight="true" outlineLevel="0" collapsed="false">
      <c r="A6" s="23" t="s">
        <v>321</v>
      </c>
      <c r="B6" s="23" t="s">
        <v>7</v>
      </c>
      <c r="C6" s="23" t="s">
        <v>8</v>
      </c>
      <c r="D6" s="23" t="s">
        <v>9</v>
      </c>
    </row>
    <row r="7" customFormat="false" ht="15" hidden="false" customHeight="false" outlineLevel="0" collapsed="false">
      <c r="A7" s="44" t="s">
        <v>322</v>
      </c>
      <c r="B7" s="62" t="n">
        <v>0.08</v>
      </c>
      <c r="C7" s="47" t="s">
        <v>11</v>
      </c>
      <c r="D7" s="47" t="s">
        <v>323</v>
      </c>
    </row>
    <row r="8" customFormat="false" ht="15" hidden="false" customHeight="false" outlineLevel="0" collapsed="false">
      <c r="A8" s="44" t="s">
        <v>20</v>
      </c>
      <c r="B8" s="63" t="n">
        <f aca="false">Assumptions!$B$14</f>
        <v>0.029</v>
      </c>
      <c r="C8" s="47" t="s">
        <v>18</v>
      </c>
      <c r="D8" s="47" t="s">
        <v>324</v>
      </c>
    </row>
    <row r="9" customFormat="false" ht="15" hidden="false" customHeight="false" outlineLevel="0" collapsed="false">
      <c r="A9" s="44" t="s">
        <v>22</v>
      </c>
      <c r="B9" s="64" t="n">
        <f aca="false">Assumptions!$B$15</f>
        <v>0.3</v>
      </c>
      <c r="C9" s="47" t="s">
        <v>18</v>
      </c>
      <c r="D9" s="47" t="s">
        <v>325</v>
      </c>
    </row>
    <row r="10" customFormat="false" ht="15" hidden="false" customHeight="false" outlineLevel="0" collapsed="false">
      <c r="A10" s="44" t="s">
        <v>17</v>
      </c>
      <c r="B10" s="56" t="n">
        <f aca="false">Assumptions!$B$13</f>
        <v>50</v>
      </c>
      <c r="C10" s="47" t="s">
        <v>18</v>
      </c>
      <c r="D10" s="47" t="s">
        <v>326</v>
      </c>
    </row>
    <row r="11" customFormat="false" ht="15" hidden="false" customHeight="false" outlineLevel="0" collapsed="false">
      <c r="A11" s="44" t="s">
        <v>327</v>
      </c>
      <c r="B11" s="62" t="n">
        <v>0.01</v>
      </c>
      <c r="C11" s="47" t="s">
        <v>18</v>
      </c>
      <c r="D11" s="47" t="s">
        <v>328</v>
      </c>
    </row>
    <row r="12" customFormat="false" ht="15" hidden="false" customHeight="false" outlineLevel="0" collapsed="false">
      <c r="A12" s="44" t="s">
        <v>329</v>
      </c>
      <c r="B12" s="62" t="n">
        <v>0.004</v>
      </c>
      <c r="C12" s="47" t="s">
        <v>18</v>
      </c>
      <c r="D12" s="47" t="s">
        <v>330</v>
      </c>
    </row>
    <row r="13" customFormat="false" ht="15" hidden="false" customHeight="false" outlineLevel="0" collapsed="false">
      <c r="A13" s="44" t="s">
        <v>331</v>
      </c>
      <c r="B13" s="46" t="n">
        <v>15</v>
      </c>
      <c r="C13" s="47" t="s">
        <v>18</v>
      </c>
      <c r="D13" s="47" t="s">
        <v>332</v>
      </c>
    </row>
    <row r="14" customFormat="false" ht="15" hidden="false" customHeight="false" outlineLevel="0" collapsed="false">
      <c r="A14" s="44" t="s">
        <v>29</v>
      </c>
      <c r="B14" s="56" t="n">
        <f aca="false">Assumptions!$B$19</f>
        <v>80000</v>
      </c>
      <c r="C14" s="47" t="s">
        <v>11</v>
      </c>
      <c r="D14" s="47" t="s">
        <v>333</v>
      </c>
    </row>
    <row r="15" customFormat="false" ht="15" hidden="false" customHeight="false" outlineLevel="0" collapsed="false">
      <c r="A15" s="44" t="s">
        <v>334</v>
      </c>
      <c r="B15" s="65" t="n">
        <v>0.2</v>
      </c>
      <c r="C15" s="47" t="s">
        <v>335</v>
      </c>
      <c r="D15" s="47" t="s">
        <v>336</v>
      </c>
    </row>
    <row r="16" customFormat="false" ht="15" hidden="false" customHeight="false" outlineLevel="0" collapsed="false">
      <c r="A16" s="44" t="s">
        <v>31</v>
      </c>
      <c r="B16" s="66" t="n">
        <f aca="false">Assumptions!$B$20</f>
        <v>200</v>
      </c>
      <c r="C16" s="47" t="s">
        <v>11</v>
      </c>
      <c r="D16" s="47" t="s">
        <v>337</v>
      </c>
    </row>
    <row r="17" customFormat="false" ht="15" hidden="false" customHeight="false" outlineLevel="0" collapsed="false">
      <c r="A17" s="44" t="s">
        <v>33</v>
      </c>
      <c r="B17" s="66" t="n">
        <f aca="false">Assumptions!$B$21</f>
        <v>2000</v>
      </c>
      <c r="C17" s="47" t="s">
        <v>11</v>
      </c>
      <c r="D17" s="47"/>
    </row>
    <row r="18" customFormat="false" ht="15" hidden="false" customHeight="false" outlineLevel="0" collapsed="false">
      <c r="A18" s="44" t="s">
        <v>34</v>
      </c>
      <c r="B18" s="66" t="n">
        <f aca="false">Assumptions!$B$22</f>
        <v>10000</v>
      </c>
      <c r="C18" s="47" t="s">
        <v>11</v>
      </c>
      <c r="D18" s="47" t="s">
        <v>338</v>
      </c>
    </row>
    <row r="19" customFormat="false" ht="15" hidden="false" customHeight="false" outlineLevel="0" collapsed="false">
      <c r="A19" s="44" t="s">
        <v>37</v>
      </c>
      <c r="B19" s="56" t="n">
        <f aca="false">Assumptions!$B$24</f>
        <v>50</v>
      </c>
      <c r="C19" s="47" t="s">
        <v>18</v>
      </c>
      <c r="D19" s="47" t="s">
        <v>339</v>
      </c>
    </row>
    <row r="20" customFormat="false" ht="15" hidden="false" customHeight="false" outlineLevel="0" collapsed="false">
      <c r="A20" s="49" t="s">
        <v>340</v>
      </c>
      <c r="B20" s="67" t="n">
        <f aca="false">$B$7-$B$8-($B$9/$B$10)-$B$11-$B$12-($B$12*$B$13/$B$10)</f>
        <v>0.0298</v>
      </c>
      <c r="C20" s="47" t="s">
        <v>341</v>
      </c>
      <c r="D20" s="47" t="s">
        <v>342</v>
      </c>
    </row>
    <row r="22" customFormat="false" ht="30" hidden="false" customHeight="true" outlineLevel="0" collapsed="false">
      <c r="A22" s="23" t="s">
        <v>343</v>
      </c>
      <c r="B22" s="23" t="s">
        <v>7</v>
      </c>
      <c r="C22" s="23" t="s">
        <v>8</v>
      </c>
      <c r="D22" s="23" t="s">
        <v>9</v>
      </c>
    </row>
    <row r="23" customFormat="false" ht="15" hidden="false" customHeight="false" outlineLevel="0" collapsed="false">
      <c r="A23" s="44" t="s">
        <v>344</v>
      </c>
      <c r="B23" s="68" t="n">
        <v>150000</v>
      </c>
      <c r="C23" s="47" t="s">
        <v>335</v>
      </c>
      <c r="D23" s="47" t="s">
        <v>345</v>
      </c>
    </row>
    <row r="24" customFormat="false" ht="15" hidden="false" customHeight="false" outlineLevel="0" collapsed="false">
      <c r="A24" s="44" t="s">
        <v>346</v>
      </c>
      <c r="B24" s="68" t="n">
        <v>65000</v>
      </c>
      <c r="C24" s="47" t="s">
        <v>335</v>
      </c>
      <c r="D24" s="47" t="s">
        <v>347</v>
      </c>
    </row>
    <row r="25" customFormat="false" ht="15" hidden="false" customHeight="false" outlineLevel="0" collapsed="false">
      <c r="A25" s="44" t="s">
        <v>348</v>
      </c>
      <c r="B25" s="54" t="n">
        <v>3400</v>
      </c>
      <c r="C25" s="47" t="s">
        <v>11</v>
      </c>
      <c r="D25" s="47" t="s">
        <v>349</v>
      </c>
    </row>
    <row r="27" customFormat="false" ht="30" hidden="false" customHeight="true" outlineLevel="0" collapsed="false">
      <c r="A27" s="23" t="s">
        <v>350</v>
      </c>
      <c r="B27" s="23" t="s">
        <v>99</v>
      </c>
      <c r="C27" s="23" t="s">
        <v>8</v>
      </c>
      <c r="D27" s="23" t="s">
        <v>9</v>
      </c>
    </row>
    <row r="28" customFormat="false" ht="15" hidden="false" customHeight="false" outlineLevel="0" collapsed="false">
      <c r="A28" s="44" t="s">
        <v>174</v>
      </c>
      <c r="B28" s="56" t="n">
        <f aca="false">Assumptions!$B$10</f>
        <v>110</v>
      </c>
      <c r="C28" s="47" t="s">
        <v>11</v>
      </c>
      <c r="D28" s="47" t="s">
        <v>351</v>
      </c>
    </row>
    <row r="29" customFormat="false" ht="15" hidden="false" customHeight="false" outlineLevel="0" collapsed="false">
      <c r="A29" s="44" t="s">
        <v>175</v>
      </c>
      <c r="B29" s="56" t="n">
        <f aca="false">Assumptions!$B$11</f>
        <v>500</v>
      </c>
      <c r="C29" s="47" t="s">
        <v>11</v>
      </c>
      <c r="D29" s="47" t="s">
        <v>352</v>
      </c>
    </row>
    <row r="30" customFormat="false" ht="15" hidden="false" customHeight="false" outlineLevel="0" collapsed="false">
      <c r="A30" s="44" t="s">
        <v>176</v>
      </c>
      <c r="B30" s="56" t="n">
        <f aca="false">Assumptions!$B$12</f>
        <v>2000</v>
      </c>
      <c r="C30" s="47" t="s">
        <v>11</v>
      </c>
      <c r="D30" s="47" t="s">
        <v>353</v>
      </c>
    </row>
    <row r="32" customFormat="false" ht="15" hidden="false" customHeight="false" outlineLevel="0" collapsed="false">
      <c r="A32" s="52" t="s">
        <v>354</v>
      </c>
    </row>
    <row r="33" customFormat="false" ht="15" hidden="false" customHeight="false" outlineLevel="0" collapsed="false">
      <c r="A33" s="44" t="s">
        <v>355</v>
      </c>
      <c r="B33" s="65" t="n">
        <v>0.8</v>
      </c>
      <c r="C33" s="47" t="s">
        <v>11</v>
      </c>
      <c r="D33" s="47" t="s">
        <v>356</v>
      </c>
    </row>
    <row r="34" customFormat="false" ht="30" hidden="false" customHeight="true" outlineLevel="0" collapsed="false">
      <c r="A34" s="23" t="s">
        <v>357</v>
      </c>
      <c r="B34" s="23" t="s">
        <v>358</v>
      </c>
      <c r="C34" s="23" t="s">
        <v>359</v>
      </c>
      <c r="D34" s="23" t="s">
        <v>360</v>
      </c>
      <c r="E34" s="23" t="s">
        <v>361</v>
      </c>
      <c r="F34" s="23" t="s">
        <v>362</v>
      </c>
      <c r="G34" s="23" t="s">
        <v>363</v>
      </c>
    </row>
    <row r="35" customFormat="false" ht="15" hidden="false" customHeight="false" outlineLevel="0" collapsed="false">
      <c r="A35" s="44" t="s">
        <v>364</v>
      </c>
      <c r="B35" s="65" t="n">
        <v>0.5</v>
      </c>
      <c r="C35" s="69" t="n">
        <f aca="false">(1-B35)*$B$33</f>
        <v>0.4</v>
      </c>
      <c r="D35" s="69" t="n">
        <f aca="false">(1-B35)*(1-$B$33)</f>
        <v>0.1</v>
      </c>
      <c r="E35" s="58" t="n">
        <f aca="false">B35*$B$28+C35*$B$29+D35*$B$30</f>
        <v>455</v>
      </c>
      <c r="F35" s="57" t="n">
        <f aca="false">E35*12</f>
        <v>5460</v>
      </c>
      <c r="G35" s="69" t="n">
        <f aca="false">IFERROR(E35/$B$28-1,0)</f>
        <v>3.13636363636364</v>
      </c>
    </row>
    <row r="36" customFormat="false" ht="15" hidden="false" customHeight="false" outlineLevel="0" collapsed="false">
      <c r="A36" s="44" t="s">
        <v>365</v>
      </c>
      <c r="B36" s="65" t="n">
        <v>0.7</v>
      </c>
      <c r="C36" s="69" t="n">
        <f aca="false">(1-B36)*$B$33</f>
        <v>0.24</v>
      </c>
      <c r="D36" s="69" t="n">
        <f aca="false">(1-B36)*(1-$B$33)</f>
        <v>0.06</v>
      </c>
      <c r="E36" s="58" t="n">
        <f aca="false">B36*$B$28+C36*$B$29+D36*$B$30</f>
        <v>317</v>
      </c>
      <c r="F36" s="57" t="n">
        <f aca="false">E36*12</f>
        <v>3804</v>
      </c>
      <c r="G36" s="69" t="n">
        <f aca="false">IFERROR(E36/$B$28-1,0)</f>
        <v>1.88181818181818</v>
      </c>
    </row>
    <row r="37" customFormat="false" ht="15" hidden="false" customHeight="false" outlineLevel="0" collapsed="false">
      <c r="A37" s="44" t="s">
        <v>366</v>
      </c>
      <c r="B37" s="65" t="n">
        <v>0.9</v>
      </c>
      <c r="C37" s="69" t="n">
        <f aca="false">(1-B37)*$B$33</f>
        <v>0.08</v>
      </c>
      <c r="D37" s="69" t="n">
        <f aca="false">(1-B37)*(1-$B$33)</f>
        <v>0.02</v>
      </c>
      <c r="E37" s="58" t="n">
        <f aca="false">B37*$B$28+C37*$B$29+D37*$B$30</f>
        <v>179</v>
      </c>
      <c r="F37" s="57" t="n">
        <f aca="false">E37*12</f>
        <v>2148</v>
      </c>
      <c r="G37" s="69" t="n">
        <f aca="false">IFERROR(E37/$B$28-1,0)</f>
        <v>0.627272727272727</v>
      </c>
    </row>
    <row r="40" customFormat="false" ht="30" hidden="false" customHeight="true" outlineLevel="0" collapsed="false">
      <c r="A40" s="23" t="s">
        <v>367</v>
      </c>
      <c r="B40" s="23" t="s">
        <v>48</v>
      </c>
      <c r="C40" s="23" t="s">
        <v>368</v>
      </c>
      <c r="D40" s="23" t="s">
        <v>369</v>
      </c>
      <c r="E40" s="23" t="s">
        <v>370</v>
      </c>
      <c r="F40" s="23" t="s">
        <v>371</v>
      </c>
      <c r="G40" s="23" t="s">
        <v>372</v>
      </c>
      <c r="H40" s="23" t="s">
        <v>373</v>
      </c>
    </row>
    <row r="41" customFormat="false" ht="15" hidden="false" customHeight="false" outlineLevel="0" collapsed="false">
      <c r="A41" s="44" t="s">
        <v>374</v>
      </c>
      <c r="B41" s="54" t="n">
        <v>10</v>
      </c>
      <c r="C41" s="70" t="n">
        <f aca="false">IF(B41&lt;=$B$18,IF(B41&gt;=$B$18,3,IF(B41&gt;=$B$17,2,IF(B41&gt;=$B$16,1,0))),ROUNDUP(B41/$B$25,0))</f>
        <v>0</v>
      </c>
      <c r="D41" s="54" t="n">
        <v>0</v>
      </c>
      <c r="E41" s="54" t="n">
        <v>0</v>
      </c>
      <c r="F41" s="56" t="n">
        <f aca="false">'Costs (Render)'!$B$20</f>
        <v>3606.72</v>
      </c>
      <c r="G41" s="70" t="n">
        <f aca="false">IFERROR(B41/C41,0)</f>
        <v>0</v>
      </c>
      <c r="H41" s="47" t="s">
        <v>375</v>
      </c>
    </row>
    <row r="42" customFormat="false" ht="15" hidden="false" customHeight="false" outlineLevel="0" collapsed="false">
      <c r="A42" s="44" t="s">
        <v>376</v>
      </c>
      <c r="B42" s="54" t="n">
        <v>100</v>
      </c>
      <c r="C42" s="70" t="n">
        <f aca="false">IF(B42&lt;=$B$18,IF(B42&gt;=$B$18,3,IF(B42&gt;=$B$17,2,IF(B42&gt;=$B$16,1,0))),ROUNDUP(B42/$B$25,0))</f>
        <v>0</v>
      </c>
      <c r="D42" s="54" t="n">
        <v>0</v>
      </c>
      <c r="E42" s="54" t="n">
        <v>0</v>
      </c>
      <c r="F42" s="56" t="n">
        <f aca="false">'Costs (Render)'!$C$20</f>
        <v>3880.32</v>
      </c>
      <c r="G42" s="70" t="n">
        <f aca="false">IFERROR(B42/C42,0)</f>
        <v>0</v>
      </c>
      <c r="H42" s="47" t="s">
        <v>377</v>
      </c>
    </row>
    <row r="43" customFormat="false" ht="15" hidden="false" customHeight="false" outlineLevel="0" collapsed="false">
      <c r="A43" s="44" t="s">
        <v>378</v>
      </c>
      <c r="B43" s="54" t="n">
        <v>1000</v>
      </c>
      <c r="C43" s="70" t="n">
        <f aca="false">IF(B43&lt;=$B$18,IF(B43&gt;=$B$18,3,IF(B43&gt;=$B$17,2,IF(B43&gt;=$B$16,1,0))),ROUNDUP(B43/$B$25,0))</f>
        <v>1</v>
      </c>
      <c r="D43" s="54" t="n">
        <v>0</v>
      </c>
      <c r="E43" s="54" t="n">
        <v>0</v>
      </c>
      <c r="F43" s="56" t="n">
        <f aca="false">'Costs (Render)'!$D$20</f>
        <v>9844.32</v>
      </c>
      <c r="G43" s="70" t="n">
        <f aca="false">IFERROR(B43/C43,0)</f>
        <v>1000</v>
      </c>
      <c r="H43" s="47" t="s">
        <v>379</v>
      </c>
    </row>
    <row r="44" customFormat="false" ht="15" hidden="false" customHeight="false" outlineLevel="0" collapsed="false">
      <c r="A44" s="44" t="s">
        <v>380</v>
      </c>
      <c r="B44" s="54" t="n">
        <v>10000</v>
      </c>
      <c r="C44" s="70" t="n">
        <f aca="false">IF(B44&lt;=$B$18,IF(B44&gt;=$B$18,3,IF(B44&gt;=$B$17,2,IF(B44&gt;=$B$16,1,0))),ROUNDUP(B44/$B$25,0))</f>
        <v>3</v>
      </c>
      <c r="D44" s="54" t="n">
        <v>2</v>
      </c>
      <c r="E44" s="54" t="n">
        <v>1</v>
      </c>
      <c r="F44" s="56" t="n">
        <f aca="false">'Costs (Render)'!$E$20</f>
        <v>24433.32</v>
      </c>
      <c r="G44" s="70" t="n">
        <f aca="false">IFERROR(B44/C44,0)</f>
        <v>3333.33333333333</v>
      </c>
      <c r="H44" s="47" t="s">
        <v>381</v>
      </c>
    </row>
    <row r="45" customFormat="false" ht="15" hidden="false" customHeight="false" outlineLevel="0" collapsed="false">
      <c r="A45" s="44" t="s">
        <v>382</v>
      </c>
      <c r="B45" s="54" t="n">
        <v>20000</v>
      </c>
      <c r="C45" s="70" t="n">
        <f aca="false">IF(B45&lt;=$B$18,IF(B45&gt;=$B$18,3,IF(B45&gt;=$B$17,2,IF(B45&gt;=$B$16,1,0))),ROUNDUP(B45/$B$25,0))</f>
        <v>6</v>
      </c>
      <c r="D45" s="54" t="n">
        <v>3</v>
      </c>
      <c r="E45" s="54" t="n">
        <v>2</v>
      </c>
      <c r="F45" s="56" t="n">
        <f aca="false">'Costs (Render)'!$F$20</f>
        <v>41598.12</v>
      </c>
      <c r="G45" s="70" t="n">
        <f aca="false">IFERROR(B45/C45,0)</f>
        <v>3333.33333333333</v>
      </c>
      <c r="H45" s="47" t="s">
        <v>383</v>
      </c>
    </row>
    <row r="46" customFormat="false" ht="15" hidden="false" customHeight="false" outlineLevel="0" collapsed="false">
      <c r="A46" s="44" t="s">
        <v>384</v>
      </c>
      <c r="B46" s="54" t="n">
        <v>40000</v>
      </c>
      <c r="C46" s="70" t="n">
        <f aca="false">IF(B46&lt;=$B$18,IF(B46&gt;=$B$18,3,IF(B46&gt;=$B$17,2,IF(B46&gt;=$B$16,1,0))),ROUNDUP(B46/$B$25,0))</f>
        <v>12</v>
      </c>
      <c r="D46" s="54" t="n">
        <v>5</v>
      </c>
      <c r="E46" s="54" t="n">
        <v>4</v>
      </c>
      <c r="F46" s="56" t="n">
        <f aca="false">'Costs (Render)'!$G$20</f>
        <v>67638.12</v>
      </c>
      <c r="G46" s="70" t="n">
        <f aca="false">IFERROR(B46/C46,0)</f>
        <v>3333.33333333333</v>
      </c>
      <c r="H46" s="47" t="s">
        <v>385</v>
      </c>
    </row>
    <row r="48" customFormat="false" ht="15" hidden="false" customHeight="false" outlineLevel="0" collapsed="false">
      <c r="A48" s="47" t="s">
        <v>386</v>
      </c>
    </row>
    <row r="50" customFormat="false" ht="15" hidden="false" customHeight="false" outlineLevel="0" collapsed="false">
      <c r="A50" s="52" t="s">
        <v>387</v>
      </c>
    </row>
    <row r="51" customFormat="false" ht="30" hidden="false" customHeight="true" outlineLevel="0" collapsed="false">
      <c r="A51" s="23" t="s">
        <v>388</v>
      </c>
      <c r="B51" s="23" t="s">
        <v>48</v>
      </c>
      <c r="C51" s="23" t="s">
        <v>361</v>
      </c>
      <c r="D51" s="23" t="s">
        <v>389</v>
      </c>
      <c r="E51" s="23" t="s">
        <v>390</v>
      </c>
      <c r="F51" s="23" t="s">
        <v>391</v>
      </c>
      <c r="G51" s="23" t="s">
        <v>392</v>
      </c>
      <c r="H51" s="23" t="s">
        <v>393</v>
      </c>
      <c r="I51" s="23" t="s">
        <v>104</v>
      </c>
      <c r="J51" s="23" t="s">
        <v>394</v>
      </c>
      <c r="K51" s="23" t="s">
        <v>368</v>
      </c>
      <c r="L51" s="23" t="s">
        <v>395</v>
      </c>
      <c r="M51" s="23" t="s">
        <v>396</v>
      </c>
      <c r="N51" s="23" t="s">
        <v>397</v>
      </c>
      <c r="O51" s="23" t="s">
        <v>398</v>
      </c>
      <c r="P51" s="23" t="s">
        <v>399</v>
      </c>
      <c r="Q51" s="23" t="s">
        <v>400</v>
      </c>
      <c r="R51" s="23" t="s">
        <v>401</v>
      </c>
      <c r="S51" s="23" t="s">
        <v>402</v>
      </c>
      <c r="T51" s="23" t="s">
        <v>403</v>
      </c>
      <c r="U51" s="23" t="s">
        <v>404</v>
      </c>
      <c r="V51" s="23" t="s">
        <v>405</v>
      </c>
    </row>
    <row r="52" customFormat="false" ht="15" hidden="false" customHeight="false" outlineLevel="0" collapsed="false">
      <c r="A52" s="71" t="s">
        <v>406</v>
      </c>
      <c r="B52" s="72" t="n">
        <f aca="false">$B$41</f>
        <v>10</v>
      </c>
      <c r="C52" s="73" t="n">
        <f aca="false">$E$35</f>
        <v>455</v>
      </c>
      <c r="D52" s="73" t="n">
        <f aca="false">B52*C52*6</f>
        <v>27300</v>
      </c>
      <c r="E52" s="73" t="n">
        <f aca="false">D52*$B$7</f>
        <v>2184</v>
      </c>
      <c r="F52" s="73" t="n">
        <f aca="false">-(D52*$B$8+IFERROR(D52/$B$10,0)*$B$9)</f>
        <v>-955.5</v>
      </c>
      <c r="G52" s="73" t="n">
        <f aca="false">-D52*$B$11</f>
        <v>-273</v>
      </c>
      <c r="H52" s="73" t="n">
        <f aca="false">-(D52*$B$12+IFERROR(D52*$B$12/$B$10,0)*$B$13)</f>
        <v>-141.96</v>
      </c>
      <c r="I52" s="74" t="n">
        <f aca="false">E52+F52+G52+H52</f>
        <v>813.54</v>
      </c>
      <c r="J52" s="73" t="n">
        <f aca="false">-$F$41/2</f>
        <v>-1803.36</v>
      </c>
      <c r="K52" s="72" t="n">
        <f aca="false">$C$41</f>
        <v>0</v>
      </c>
      <c r="L52" s="73" t="n">
        <f aca="false">-K52*$B$14*(1+$B$15)/2</f>
        <v>-0</v>
      </c>
      <c r="M52" s="72" t="n">
        <f aca="false">$D$41</f>
        <v>0</v>
      </c>
      <c r="N52" s="73" t="n">
        <f aca="false">-M52*$B$23*(1+$B$15)/2</f>
        <v>-0</v>
      </c>
      <c r="O52" s="72" t="n">
        <f aca="false">$E$41</f>
        <v>0</v>
      </c>
      <c r="P52" s="73" t="n">
        <f aca="false">-O52*$B$24*(1+$B$15)/2</f>
        <v>-0</v>
      </c>
      <c r="Q52" s="73" t="n">
        <f aca="false">J52+L52+N52+P52</f>
        <v>-1803.36</v>
      </c>
      <c r="R52" s="74" t="n">
        <f aca="false">I52+Q52</f>
        <v>-989.82</v>
      </c>
      <c r="S52" s="73" t="n">
        <f aca="false">R52</f>
        <v>-989.82</v>
      </c>
      <c r="T52" s="75" t="n">
        <f aca="false">IFERROR(I52/D52,0)</f>
        <v>0.0298</v>
      </c>
      <c r="U52" s="76" t="n">
        <f aca="false">IFERROR(R52/D52,0)</f>
        <v>-0.0362571428571429</v>
      </c>
      <c r="V52" s="73" t="n">
        <f aca="false">I52+J52+L52</f>
        <v>-989.82</v>
      </c>
    </row>
    <row r="53" customFormat="false" ht="15" hidden="false" customHeight="false" outlineLevel="0" collapsed="false">
      <c r="A53" s="44" t="s">
        <v>407</v>
      </c>
      <c r="B53" s="70" t="n">
        <f aca="false">$B$42</f>
        <v>100</v>
      </c>
      <c r="C53" s="57" t="n">
        <f aca="false">$E$35</f>
        <v>455</v>
      </c>
      <c r="D53" s="57" t="n">
        <f aca="false">B53*C53*6</f>
        <v>273000</v>
      </c>
      <c r="E53" s="57" t="n">
        <f aca="false">D53*$B$7</f>
        <v>21840</v>
      </c>
      <c r="F53" s="57" t="n">
        <f aca="false">-(D53*$B$8+IFERROR(D53/$B$10,0)*$B$9)</f>
        <v>-9555</v>
      </c>
      <c r="G53" s="57" t="n">
        <f aca="false">-D53*$B$11</f>
        <v>-2730</v>
      </c>
      <c r="H53" s="57" t="n">
        <f aca="false">-(D53*$B$12+IFERROR(D53*$B$12/$B$10,0)*$B$13)</f>
        <v>-1419.6</v>
      </c>
      <c r="I53" s="58" t="n">
        <f aca="false">E53+F53+G53+H53</f>
        <v>8135.4</v>
      </c>
      <c r="J53" s="57" t="n">
        <f aca="false">-$F$42/2</f>
        <v>-1940.16</v>
      </c>
      <c r="K53" s="70" t="n">
        <f aca="false">$C$42</f>
        <v>0</v>
      </c>
      <c r="L53" s="57" t="n">
        <f aca="false">-K53*$B$14*(1+$B$15)/2</f>
        <v>-0</v>
      </c>
      <c r="M53" s="70" t="n">
        <f aca="false">$D$42</f>
        <v>0</v>
      </c>
      <c r="N53" s="57" t="n">
        <f aca="false">-M53*$B$23*(1+$B$15)/2</f>
        <v>-0</v>
      </c>
      <c r="O53" s="70" t="n">
        <f aca="false">$E$42</f>
        <v>0</v>
      </c>
      <c r="P53" s="57" t="n">
        <f aca="false">-O53*$B$24*(1+$B$15)/2</f>
        <v>-0</v>
      </c>
      <c r="Q53" s="57" t="n">
        <f aca="false">J53+L53+N53+P53</f>
        <v>-1940.16</v>
      </c>
      <c r="R53" s="58" t="n">
        <f aca="false">I53+Q53</f>
        <v>6195.24</v>
      </c>
      <c r="S53" s="57" t="n">
        <f aca="false">S52+R53</f>
        <v>5205.42</v>
      </c>
      <c r="T53" s="77" t="n">
        <f aca="false">IFERROR(I53/D53,0)</f>
        <v>0.0298</v>
      </c>
      <c r="U53" s="69" t="n">
        <f aca="false">IFERROR(R53/D53,0)</f>
        <v>0.0226931868131868</v>
      </c>
      <c r="V53" s="57" t="n">
        <f aca="false">I53+J53+L53</f>
        <v>6195.24</v>
      </c>
    </row>
    <row r="54" customFormat="false" ht="15" hidden="false" customHeight="false" outlineLevel="0" collapsed="false">
      <c r="A54" s="71" t="s">
        <v>408</v>
      </c>
      <c r="B54" s="72" t="n">
        <f aca="false">$B$43</f>
        <v>1000</v>
      </c>
      <c r="C54" s="73" t="n">
        <f aca="false">$E$35</f>
        <v>455</v>
      </c>
      <c r="D54" s="73" t="n">
        <f aca="false">B54*C54*6</f>
        <v>2730000</v>
      </c>
      <c r="E54" s="73" t="n">
        <f aca="false">D54*$B$7</f>
        <v>218400</v>
      </c>
      <c r="F54" s="73" t="n">
        <f aca="false">-(D54*$B$8+IFERROR(D54/$B$10,0)*$B$9)</f>
        <v>-95550</v>
      </c>
      <c r="G54" s="73" t="n">
        <f aca="false">-D54*$B$11</f>
        <v>-27300</v>
      </c>
      <c r="H54" s="73" t="n">
        <f aca="false">-(D54*$B$12+IFERROR(D54*$B$12/$B$10,0)*$B$13)</f>
        <v>-14196</v>
      </c>
      <c r="I54" s="74" t="n">
        <f aca="false">E54+F54+G54+H54</f>
        <v>81354</v>
      </c>
      <c r="J54" s="73" t="n">
        <f aca="false">-$F$43/2</f>
        <v>-4922.16</v>
      </c>
      <c r="K54" s="72" t="n">
        <f aca="false">$C$43</f>
        <v>1</v>
      </c>
      <c r="L54" s="73" t="n">
        <f aca="false">-K54*$B$14*(1+$B$15)/2</f>
        <v>-48000</v>
      </c>
      <c r="M54" s="72" t="n">
        <f aca="false">$D$43</f>
        <v>0</v>
      </c>
      <c r="N54" s="73" t="n">
        <f aca="false">-M54*$B$23*(1+$B$15)/2</f>
        <v>-0</v>
      </c>
      <c r="O54" s="72" t="n">
        <f aca="false">$E$43</f>
        <v>0</v>
      </c>
      <c r="P54" s="73" t="n">
        <f aca="false">-O54*$B$24*(1+$B$15)/2</f>
        <v>-0</v>
      </c>
      <c r="Q54" s="73" t="n">
        <f aca="false">J54+L54+N54+P54</f>
        <v>-52922.16</v>
      </c>
      <c r="R54" s="74" t="n">
        <f aca="false">I54+Q54</f>
        <v>28431.84</v>
      </c>
      <c r="S54" s="73" t="n">
        <f aca="false">S53+R54</f>
        <v>33637.26</v>
      </c>
      <c r="T54" s="75" t="n">
        <f aca="false">IFERROR(I54/D54,0)</f>
        <v>0.0298</v>
      </c>
      <c r="U54" s="76" t="n">
        <f aca="false">IFERROR(R54/D54,0)</f>
        <v>0.0104145934065934</v>
      </c>
      <c r="V54" s="73" t="n">
        <f aca="false">I54+J54+L54</f>
        <v>28431.84</v>
      </c>
    </row>
    <row r="55" customFormat="false" ht="15" hidden="false" customHeight="false" outlineLevel="0" collapsed="false">
      <c r="A55" s="44" t="s">
        <v>409</v>
      </c>
      <c r="B55" s="70" t="n">
        <f aca="false">$B$44</f>
        <v>10000</v>
      </c>
      <c r="C55" s="57" t="n">
        <f aca="false">$E$35</f>
        <v>455</v>
      </c>
      <c r="D55" s="57" t="n">
        <f aca="false">B55*C55*6</f>
        <v>27300000</v>
      </c>
      <c r="E55" s="57" t="n">
        <f aca="false">D55*$B$7</f>
        <v>2184000</v>
      </c>
      <c r="F55" s="57" t="n">
        <f aca="false">-(D55*$B$8+IFERROR(D55/$B$10,0)*$B$9)</f>
        <v>-955500</v>
      </c>
      <c r="G55" s="57" t="n">
        <f aca="false">-D55*$B$11</f>
        <v>-273000</v>
      </c>
      <c r="H55" s="57" t="n">
        <f aca="false">-(D55*$B$12+IFERROR(D55*$B$12/$B$10,0)*$B$13)</f>
        <v>-141960</v>
      </c>
      <c r="I55" s="58" t="n">
        <f aca="false">E55+F55+G55+H55</f>
        <v>813540</v>
      </c>
      <c r="J55" s="57" t="n">
        <f aca="false">-$F$44/2</f>
        <v>-12216.66</v>
      </c>
      <c r="K55" s="70" t="n">
        <f aca="false">$C$44</f>
        <v>3</v>
      </c>
      <c r="L55" s="57" t="n">
        <f aca="false">-K55*$B$14*(1+$B$15)/2</f>
        <v>-144000</v>
      </c>
      <c r="M55" s="70" t="n">
        <f aca="false">$D$44</f>
        <v>2</v>
      </c>
      <c r="N55" s="57" t="n">
        <f aca="false">-M55*$B$23*(1+$B$15)/2</f>
        <v>-180000</v>
      </c>
      <c r="O55" s="70" t="n">
        <f aca="false">$E$44</f>
        <v>1</v>
      </c>
      <c r="P55" s="57" t="n">
        <f aca="false">-O55*$B$24*(1+$B$15)/2</f>
        <v>-39000</v>
      </c>
      <c r="Q55" s="57" t="n">
        <f aca="false">J55+L55+N55+P55</f>
        <v>-375216.66</v>
      </c>
      <c r="R55" s="58" t="n">
        <f aca="false">I55+Q55</f>
        <v>438323.34</v>
      </c>
      <c r="S55" s="57" t="n">
        <f aca="false">S54+R55</f>
        <v>471960.6</v>
      </c>
      <c r="T55" s="77" t="n">
        <f aca="false">IFERROR(I55/D55,0)</f>
        <v>0.0298</v>
      </c>
      <c r="U55" s="69" t="n">
        <f aca="false">IFERROR(R55/D55,0)</f>
        <v>0.0160558</v>
      </c>
      <c r="V55" s="57" t="n">
        <f aca="false">I55+J55+L55</f>
        <v>657323.34</v>
      </c>
    </row>
    <row r="56" customFormat="false" ht="15" hidden="false" customHeight="false" outlineLevel="0" collapsed="false">
      <c r="A56" s="71" t="s">
        <v>410</v>
      </c>
      <c r="B56" s="72" t="n">
        <f aca="false">$B$45</f>
        <v>20000</v>
      </c>
      <c r="C56" s="73" t="n">
        <f aca="false">$E$35</f>
        <v>455</v>
      </c>
      <c r="D56" s="73" t="n">
        <f aca="false">B56*C56*6</f>
        <v>54600000</v>
      </c>
      <c r="E56" s="73" t="n">
        <f aca="false">D56*$B$7</f>
        <v>4368000</v>
      </c>
      <c r="F56" s="73" t="n">
        <f aca="false">-(D56*$B$8+IFERROR(D56/$B$10,0)*$B$9)</f>
        <v>-1911000</v>
      </c>
      <c r="G56" s="73" t="n">
        <f aca="false">-D56*$B$11</f>
        <v>-546000</v>
      </c>
      <c r="H56" s="73" t="n">
        <f aca="false">-(D56*$B$12+IFERROR(D56*$B$12/$B$10,0)*$B$13)</f>
        <v>-283920</v>
      </c>
      <c r="I56" s="74" t="n">
        <f aca="false">E56+F56+G56+H56</f>
        <v>1627080</v>
      </c>
      <c r="J56" s="73" t="n">
        <f aca="false">-$F$45/2</f>
        <v>-20799.06</v>
      </c>
      <c r="K56" s="72" t="n">
        <f aca="false">$C$45</f>
        <v>6</v>
      </c>
      <c r="L56" s="73" t="n">
        <f aca="false">-K56*$B$14*(1+$B$15)/2</f>
        <v>-288000</v>
      </c>
      <c r="M56" s="72" t="n">
        <f aca="false">$D$45</f>
        <v>3</v>
      </c>
      <c r="N56" s="73" t="n">
        <f aca="false">-M56*$B$23*(1+$B$15)/2</f>
        <v>-270000</v>
      </c>
      <c r="O56" s="72" t="n">
        <f aca="false">$E$45</f>
        <v>2</v>
      </c>
      <c r="P56" s="73" t="n">
        <f aca="false">-O56*$B$24*(1+$B$15)/2</f>
        <v>-78000</v>
      </c>
      <c r="Q56" s="73" t="n">
        <f aca="false">J56+L56+N56+P56</f>
        <v>-656799.06</v>
      </c>
      <c r="R56" s="74" t="n">
        <f aca="false">I56+Q56</f>
        <v>970280.94</v>
      </c>
      <c r="S56" s="73" t="n">
        <f aca="false">S55+R56</f>
        <v>1442241.54</v>
      </c>
      <c r="T56" s="75" t="n">
        <f aca="false">IFERROR(I56/D56,0)</f>
        <v>0.0298</v>
      </c>
      <c r="U56" s="76" t="n">
        <f aca="false">IFERROR(R56/D56,0)</f>
        <v>0.0177707131868132</v>
      </c>
      <c r="V56" s="73" t="n">
        <f aca="false">I56+J56+L56</f>
        <v>1318280.94</v>
      </c>
    </row>
    <row r="57" customFormat="false" ht="15" hidden="false" customHeight="false" outlineLevel="0" collapsed="false">
      <c r="A57" s="44" t="s">
        <v>411</v>
      </c>
      <c r="B57" s="70" t="n">
        <f aca="false">$B$46</f>
        <v>40000</v>
      </c>
      <c r="C57" s="57" t="n">
        <f aca="false">$E$35</f>
        <v>455</v>
      </c>
      <c r="D57" s="57" t="n">
        <f aca="false">B57*C57*6</f>
        <v>109200000</v>
      </c>
      <c r="E57" s="57" t="n">
        <f aca="false">D57*$B$7</f>
        <v>8736000</v>
      </c>
      <c r="F57" s="57" t="n">
        <f aca="false">-(D57*$B$8+IFERROR(D57/$B$10,0)*$B$9)</f>
        <v>-3822000</v>
      </c>
      <c r="G57" s="57" t="n">
        <f aca="false">-D57*$B$11</f>
        <v>-1092000</v>
      </c>
      <c r="H57" s="57" t="n">
        <f aca="false">-(D57*$B$12+IFERROR(D57*$B$12/$B$10,0)*$B$13)</f>
        <v>-567840</v>
      </c>
      <c r="I57" s="58" t="n">
        <f aca="false">E57+F57+G57+H57</f>
        <v>3254160</v>
      </c>
      <c r="J57" s="57" t="n">
        <f aca="false">-$F$46/2</f>
        <v>-33819.06</v>
      </c>
      <c r="K57" s="70" t="n">
        <f aca="false">$C$46</f>
        <v>12</v>
      </c>
      <c r="L57" s="57" t="n">
        <f aca="false">-K57*$B$14*(1+$B$15)/2</f>
        <v>-576000</v>
      </c>
      <c r="M57" s="70" t="n">
        <f aca="false">$D$46</f>
        <v>5</v>
      </c>
      <c r="N57" s="57" t="n">
        <f aca="false">-M57*$B$23*(1+$B$15)/2</f>
        <v>-450000</v>
      </c>
      <c r="O57" s="70" t="n">
        <f aca="false">$E$46</f>
        <v>4</v>
      </c>
      <c r="P57" s="57" t="n">
        <f aca="false">-O57*$B$24*(1+$B$15)/2</f>
        <v>-156000</v>
      </c>
      <c r="Q57" s="57" t="n">
        <f aca="false">J57+L57+N57+P57</f>
        <v>-1215819.06</v>
      </c>
      <c r="R57" s="58" t="n">
        <f aca="false">I57+Q57</f>
        <v>2038340.94</v>
      </c>
      <c r="S57" s="57" t="n">
        <f aca="false">S56+R57</f>
        <v>3480582.48</v>
      </c>
      <c r="T57" s="77" t="n">
        <f aca="false">IFERROR(I57/D57,0)</f>
        <v>0.0298</v>
      </c>
      <c r="U57" s="69" t="n">
        <f aca="false">IFERROR(R57/D57,0)</f>
        <v>0.0186661258241758</v>
      </c>
      <c r="V57" s="57" t="n">
        <f aca="false">I57+J57+L57</f>
        <v>2644340.94</v>
      </c>
    </row>
    <row r="58" customFormat="false" ht="15" hidden="false" customHeight="false" outlineLevel="0" collapsed="false">
      <c r="A58" s="52" t="s">
        <v>412</v>
      </c>
      <c r="B58" s="78" t="n">
        <f aca="false">B53</f>
        <v>100</v>
      </c>
      <c r="C58" s="51" t="n">
        <f aca="false">C53</f>
        <v>455</v>
      </c>
      <c r="D58" s="51" t="n">
        <f aca="false">SUM(D52:D53)</f>
        <v>300300</v>
      </c>
      <c r="E58" s="51" t="n">
        <f aca="false">SUM(E52:E53)</f>
        <v>24024</v>
      </c>
      <c r="F58" s="51" t="n">
        <f aca="false">SUM(F52:F53)</f>
        <v>-10510.5</v>
      </c>
      <c r="G58" s="51" t="n">
        <f aca="false">SUM(G52:G53)</f>
        <v>-3003</v>
      </c>
      <c r="H58" s="51" t="n">
        <f aca="false">SUM(H52:H53)</f>
        <v>-1561.56</v>
      </c>
      <c r="I58" s="51" t="n">
        <f aca="false">SUM(I52:I53)</f>
        <v>8948.94</v>
      </c>
      <c r="J58" s="51" t="n">
        <f aca="false">SUM(J52:J53)</f>
        <v>-3743.52</v>
      </c>
      <c r="K58" s="78" t="n">
        <f aca="false">K53</f>
        <v>0</v>
      </c>
      <c r="L58" s="51" t="n">
        <f aca="false">SUM(L52:L53)</f>
        <v>0</v>
      </c>
      <c r="M58" s="78" t="n">
        <f aca="false">M53</f>
        <v>0</v>
      </c>
      <c r="N58" s="51" t="n">
        <f aca="false">SUM(N52:N53)</f>
        <v>0</v>
      </c>
      <c r="O58" s="78" t="n">
        <f aca="false">O53</f>
        <v>0</v>
      </c>
      <c r="P58" s="51" t="n">
        <f aca="false">SUM(P52:P53)</f>
        <v>0</v>
      </c>
      <c r="Q58" s="51" t="n">
        <f aca="false">SUM(Q52:Q53)</f>
        <v>-3743.52</v>
      </c>
      <c r="R58" s="51" t="n">
        <f aca="false">SUM(R52:R53)</f>
        <v>5205.42</v>
      </c>
      <c r="S58" s="79"/>
      <c r="T58" s="80" t="n">
        <f aca="false">IFERROR(I58/D58,0)</f>
        <v>0.0298</v>
      </c>
      <c r="U58" s="81" t="n">
        <f aca="false">IFERROR(R58/D58,0)</f>
        <v>0.0173340659340659</v>
      </c>
      <c r="V58" s="51" t="n">
        <f aca="false">SUM(V52:V53)</f>
        <v>5205.42</v>
      </c>
    </row>
    <row r="59" customFormat="false" ht="15" hidden="false" customHeight="false" outlineLevel="0" collapsed="false">
      <c r="A59" s="52" t="s">
        <v>413</v>
      </c>
      <c r="B59" s="78" t="n">
        <f aca="false">B55</f>
        <v>10000</v>
      </c>
      <c r="C59" s="51" t="n">
        <f aca="false">C55</f>
        <v>455</v>
      </c>
      <c r="D59" s="51" t="n">
        <f aca="false">SUM(D54:D55)</f>
        <v>30030000</v>
      </c>
      <c r="E59" s="51" t="n">
        <f aca="false">SUM(E54:E55)</f>
        <v>2402400</v>
      </c>
      <c r="F59" s="51" t="n">
        <f aca="false">SUM(F54:F55)</f>
        <v>-1051050</v>
      </c>
      <c r="G59" s="51" t="n">
        <f aca="false">SUM(G54:G55)</f>
        <v>-300300</v>
      </c>
      <c r="H59" s="51" t="n">
        <f aca="false">SUM(H54:H55)</f>
        <v>-156156</v>
      </c>
      <c r="I59" s="51" t="n">
        <f aca="false">SUM(I54:I55)</f>
        <v>894894</v>
      </c>
      <c r="J59" s="51" t="n">
        <f aca="false">SUM(J54:J55)</f>
        <v>-17138.82</v>
      </c>
      <c r="K59" s="78" t="n">
        <f aca="false">K55</f>
        <v>3</v>
      </c>
      <c r="L59" s="51" t="n">
        <f aca="false">SUM(L54:L55)</f>
        <v>-192000</v>
      </c>
      <c r="M59" s="78" t="n">
        <f aca="false">M55</f>
        <v>2</v>
      </c>
      <c r="N59" s="51" t="n">
        <f aca="false">SUM(N54:N55)</f>
        <v>-180000</v>
      </c>
      <c r="O59" s="78" t="n">
        <f aca="false">O55</f>
        <v>1</v>
      </c>
      <c r="P59" s="51" t="n">
        <f aca="false">SUM(P54:P55)</f>
        <v>-39000</v>
      </c>
      <c r="Q59" s="51" t="n">
        <f aca="false">SUM(Q54:Q55)</f>
        <v>-428138.82</v>
      </c>
      <c r="R59" s="51" t="n">
        <f aca="false">SUM(R54:R55)</f>
        <v>466755.18</v>
      </c>
      <c r="S59" s="79"/>
      <c r="T59" s="80" t="n">
        <f aca="false">IFERROR(I59/D59,0)</f>
        <v>0.0298</v>
      </c>
      <c r="U59" s="81" t="n">
        <f aca="false">IFERROR(R59/D59,0)</f>
        <v>0.015542963036963</v>
      </c>
      <c r="V59" s="51" t="n">
        <f aca="false">SUM(V54:V55)</f>
        <v>685755.18</v>
      </c>
    </row>
    <row r="60" customFormat="false" ht="15" hidden="false" customHeight="false" outlineLevel="0" collapsed="false">
      <c r="A60" s="52" t="s">
        <v>414</v>
      </c>
      <c r="B60" s="78" t="n">
        <f aca="false">B57</f>
        <v>40000</v>
      </c>
      <c r="C60" s="51" t="n">
        <f aca="false">C57</f>
        <v>455</v>
      </c>
      <c r="D60" s="51" t="n">
        <f aca="false">SUM(D56:D57)</f>
        <v>163800000</v>
      </c>
      <c r="E60" s="51" t="n">
        <f aca="false">SUM(E56:E57)</f>
        <v>13104000</v>
      </c>
      <c r="F60" s="51" t="n">
        <f aca="false">SUM(F56:F57)</f>
        <v>-5733000</v>
      </c>
      <c r="G60" s="51" t="n">
        <f aca="false">SUM(G56:G57)</f>
        <v>-1638000</v>
      </c>
      <c r="H60" s="51" t="n">
        <f aca="false">SUM(H56:H57)</f>
        <v>-851760</v>
      </c>
      <c r="I60" s="51" t="n">
        <f aca="false">SUM(I56:I57)</f>
        <v>4881240</v>
      </c>
      <c r="J60" s="51" t="n">
        <f aca="false">SUM(J56:J57)</f>
        <v>-54618.12</v>
      </c>
      <c r="K60" s="78" t="n">
        <f aca="false">K57</f>
        <v>12</v>
      </c>
      <c r="L60" s="51" t="n">
        <f aca="false">SUM(L56:L57)</f>
        <v>-864000</v>
      </c>
      <c r="M60" s="78" t="n">
        <f aca="false">M57</f>
        <v>5</v>
      </c>
      <c r="N60" s="51" t="n">
        <f aca="false">SUM(N56:N57)</f>
        <v>-720000</v>
      </c>
      <c r="O60" s="78" t="n">
        <f aca="false">O57</f>
        <v>4</v>
      </c>
      <c r="P60" s="51" t="n">
        <f aca="false">SUM(P56:P57)</f>
        <v>-234000</v>
      </c>
      <c r="Q60" s="51" t="n">
        <f aca="false">SUM(Q56:Q57)</f>
        <v>-1872618.12</v>
      </c>
      <c r="R60" s="51" t="n">
        <f aca="false">SUM(R56:R57)</f>
        <v>3008621.88</v>
      </c>
      <c r="S60" s="79"/>
      <c r="T60" s="80" t="n">
        <f aca="false">IFERROR(I60/D60,0)</f>
        <v>0.0298</v>
      </c>
      <c r="U60" s="81" t="n">
        <f aca="false">IFERROR(R60/D60,0)</f>
        <v>0.0183676549450549</v>
      </c>
      <c r="V60" s="51" t="n">
        <f aca="false">SUM(V56:V57)</f>
        <v>3962621.88</v>
      </c>
    </row>
    <row r="61" customFormat="false" ht="15" hidden="false" customHeight="false" outlineLevel="0" collapsed="false">
      <c r="A61" s="52" t="s">
        <v>415</v>
      </c>
      <c r="B61" s="78" t="n">
        <f aca="false">B57</f>
        <v>40000</v>
      </c>
      <c r="C61" s="51" t="n">
        <f aca="false">C57</f>
        <v>455</v>
      </c>
      <c r="D61" s="51" t="n">
        <f aca="false">SUM(D52:D57)</f>
        <v>194130300</v>
      </c>
      <c r="E61" s="51" t="n">
        <f aca="false">SUM(E52:E57)</f>
        <v>15530424</v>
      </c>
      <c r="F61" s="51" t="n">
        <f aca="false">SUM(F52:F57)</f>
        <v>-6794560.5</v>
      </c>
      <c r="G61" s="51" t="n">
        <f aca="false">SUM(G52:G57)</f>
        <v>-1941303</v>
      </c>
      <c r="H61" s="51" t="n">
        <f aca="false">SUM(H52:H57)</f>
        <v>-1009477.56</v>
      </c>
      <c r="I61" s="51" t="n">
        <f aca="false">SUM(I52:I57)</f>
        <v>5785082.94</v>
      </c>
      <c r="J61" s="51" t="n">
        <f aca="false">SUM(J52:J57)</f>
        <v>-75500.46</v>
      </c>
      <c r="K61" s="78" t="n">
        <f aca="false">K57</f>
        <v>12</v>
      </c>
      <c r="L61" s="51" t="n">
        <f aca="false">SUM(L52:L57)</f>
        <v>-1056000</v>
      </c>
      <c r="M61" s="78" t="n">
        <f aca="false">M57</f>
        <v>5</v>
      </c>
      <c r="N61" s="51" t="n">
        <f aca="false">SUM(N52:N57)</f>
        <v>-900000</v>
      </c>
      <c r="O61" s="78" t="n">
        <f aca="false">O57</f>
        <v>4</v>
      </c>
      <c r="P61" s="51" t="n">
        <f aca="false">SUM(P52:P57)</f>
        <v>-273000</v>
      </c>
      <c r="Q61" s="51" t="n">
        <f aca="false">SUM(Q52:Q57)</f>
        <v>-2304500.46</v>
      </c>
      <c r="R61" s="51" t="n">
        <f aca="false">SUM(R52:R57)</f>
        <v>3480582.48</v>
      </c>
      <c r="S61" s="79"/>
      <c r="T61" s="80" t="n">
        <f aca="false">IFERROR(I61/D61,0)</f>
        <v>0.0298</v>
      </c>
      <c r="U61" s="81" t="n">
        <f aca="false">IFERROR(R61/D61,0)</f>
        <v>0.0179291047301735</v>
      </c>
      <c r="V61" s="51" t="n">
        <f aca="false">SUM(V52:V57)</f>
        <v>4653582.48</v>
      </c>
    </row>
    <row r="66" customFormat="false" ht="15" hidden="false" customHeight="false" outlineLevel="0" collapsed="false">
      <c r="A66" s="52" t="s">
        <v>416</v>
      </c>
    </row>
    <row r="67" customFormat="false" ht="30" hidden="false" customHeight="true" outlineLevel="0" collapsed="false">
      <c r="A67" s="23" t="s">
        <v>388</v>
      </c>
      <c r="B67" s="23" t="s">
        <v>48</v>
      </c>
      <c r="C67" s="23" t="s">
        <v>361</v>
      </c>
      <c r="D67" s="23" t="s">
        <v>389</v>
      </c>
      <c r="E67" s="23" t="s">
        <v>390</v>
      </c>
      <c r="F67" s="23" t="s">
        <v>391</v>
      </c>
      <c r="G67" s="23" t="s">
        <v>392</v>
      </c>
      <c r="H67" s="23" t="s">
        <v>393</v>
      </c>
      <c r="I67" s="23" t="s">
        <v>104</v>
      </c>
      <c r="J67" s="23" t="s">
        <v>394</v>
      </c>
      <c r="K67" s="23" t="s">
        <v>368</v>
      </c>
      <c r="L67" s="23" t="s">
        <v>395</v>
      </c>
      <c r="M67" s="23" t="s">
        <v>396</v>
      </c>
      <c r="N67" s="23" t="s">
        <v>397</v>
      </c>
      <c r="O67" s="23" t="s">
        <v>398</v>
      </c>
      <c r="P67" s="23" t="s">
        <v>399</v>
      </c>
      <c r="Q67" s="23" t="s">
        <v>400</v>
      </c>
      <c r="R67" s="23" t="s">
        <v>401</v>
      </c>
      <c r="S67" s="23" t="s">
        <v>402</v>
      </c>
      <c r="T67" s="23" t="s">
        <v>403</v>
      </c>
      <c r="U67" s="23" t="s">
        <v>404</v>
      </c>
      <c r="V67" s="23" t="s">
        <v>405</v>
      </c>
    </row>
    <row r="68" customFormat="false" ht="15" hidden="false" customHeight="false" outlineLevel="0" collapsed="false">
      <c r="A68" s="71" t="s">
        <v>406</v>
      </c>
      <c r="B68" s="72" t="n">
        <f aca="false">$B$41</f>
        <v>10</v>
      </c>
      <c r="C68" s="73" t="n">
        <f aca="false">$E$36</f>
        <v>317</v>
      </c>
      <c r="D68" s="73" t="n">
        <f aca="false">B68*C68*6</f>
        <v>19020</v>
      </c>
      <c r="E68" s="73" t="n">
        <f aca="false">D68*$B$7</f>
        <v>1521.6</v>
      </c>
      <c r="F68" s="73" t="n">
        <f aca="false">-(D68*$B$8+IFERROR(D68/$B$10,0)*$B$9)</f>
        <v>-665.7</v>
      </c>
      <c r="G68" s="73" t="n">
        <f aca="false">-D68*$B$11</f>
        <v>-190.2</v>
      </c>
      <c r="H68" s="73" t="n">
        <f aca="false">-(D68*$B$12+IFERROR(D68*$B$12/$B$10,0)*$B$13)</f>
        <v>-98.904</v>
      </c>
      <c r="I68" s="74" t="n">
        <f aca="false">E68+F68+G68+H68</f>
        <v>566.796</v>
      </c>
      <c r="J68" s="73" t="n">
        <f aca="false">-$F$41/2</f>
        <v>-1803.36</v>
      </c>
      <c r="K68" s="72" t="n">
        <f aca="false">$C$41</f>
        <v>0</v>
      </c>
      <c r="L68" s="73" t="n">
        <f aca="false">-K68*$B$14*(1+$B$15)/2</f>
        <v>-0</v>
      </c>
      <c r="M68" s="72" t="n">
        <f aca="false">$D$41</f>
        <v>0</v>
      </c>
      <c r="N68" s="73" t="n">
        <f aca="false">-M68*$B$23*(1+$B$15)/2</f>
        <v>-0</v>
      </c>
      <c r="O68" s="72" t="n">
        <f aca="false">$E$41</f>
        <v>0</v>
      </c>
      <c r="P68" s="73" t="n">
        <f aca="false">-O68*$B$24*(1+$B$15)/2</f>
        <v>-0</v>
      </c>
      <c r="Q68" s="73" t="n">
        <f aca="false">J68+L68+N68+P68</f>
        <v>-1803.36</v>
      </c>
      <c r="R68" s="74" t="n">
        <f aca="false">I68+Q68</f>
        <v>-1236.564</v>
      </c>
      <c r="S68" s="73" t="n">
        <f aca="false">R68</f>
        <v>-1236.564</v>
      </c>
      <c r="T68" s="75" t="n">
        <f aca="false">IFERROR(I68/D68,0)</f>
        <v>0.0298</v>
      </c>
      <c r="U68" s="76" t="n">
        <f aca="false">IFERROR(R68/D68,0)</f>
        <v>-0.065013880126183</v>
      </c>
      <c r="V68" s="73" t="n">
        <f aca="false">I68+J68+L68</f>
        <v>-1236.564</v>
      </c>
    </row>
    <row r="69" customFormat="false" ht="15" hidden="false" customHeight="false" outlineLevel="0" collapsed="false">
      <c r="A69" s="44" t="s">
        <v>407</v>
      </c>
      <c r="B69" s="70" t="n">
        <f aca="false">$B$42</f>
        <v>100</v>
      </c>
      <c r="C69" s="57" t="n">
        <f aca="false">$E$36</f>
        <v>317</v>
      </c>
      <c r="D69" s="57" t="n">
        <f aca="false">B69*C69*6</f>
        <v>190200</v>
      </c>
      <c r="E69" s="57" t="n">
        <f aca="false">D69*$B$7</f>
        <v>15216</v>
      </c>
      <c r="F69" s="57" t="n">
        <f aca="false">-(D69*$B$8+IFERROR(D69/$B$10,0)*$B$9)</f>
        <v>-6657</v>
      </c>
      <c r="G69" s="57" t="n">
        <f aca="false">-D69*$B$11</f>
        <v>-1902</v>
      </c>
      <c r="H69" s="57" t="n">
        <f aca="false">-(D69*$B$12+IFERROR(D69*$B$12/$B$10,0)*$B$13)</f>
        <v>-989.04</v>
      </c>
      <c r="I69" s="58" t="n">
        <f aca="false">E69+F69+G69+H69</f>
        <v>5667.96</v>
      </c>
      <c r="J69" s="57" t="n">
        <f aca="false">-$F$42/2</f>
        <v>-1940.16</v>
      </c>
      <c r="K69" s="70" t="n">
        <f aca="false">$C$42</f>
        <v>0</v>
      </c>
      <c r="L69" s="57" t="n">
        <f aca="false">-K69*$B$14*(1+$B$15)/2</f>
        <v>-0</v>
      </c>
      <c r="M69" s="70" t="n">
        <f aca="false">$D$42</f>
        <v>0</v>
      </c>
      <c r="N69" s="57" t="n">
        <f aca="false">-M69*$B$23*(1+$B$15)/2</f>
        <v>-0</v>
      </c>
      <c r="O69" s="70" t="n">
        <f aca="false">$E$42</f>
        <v>0</v>
      </c>
      <c r="P69" s="57" t="n">
        <f aca="false">-O69*$B$24*(1+$B$15)/2</f>
        <v>-0</v>
      </c>
      <c r="Q69" s="57" t="n">
        <f aca="false">J69+L69+N69+P69</f>
        <v>-1940.16</v>
      </c>
      <c r="R69" s="58" t="n">
        <f aca="false">I69+Q69</f>
        <v>3727.8</v>
      </c>
      <c r="S69" s="57" t="n">
        <f aca="false">S68+R69</f>
        <v>2491.236</v>
      </c>
      <c r="T69" s="77" t="n">
        <f aca="false">IFERROR(I69/D69,0)</f>
        <v>0.0298</v>
      </c>
      <c r="U69" s="69" t="n">
        <f aca="false">IFERROR(R69/D69,0)</f>
        <v>0.0195993690851735</v>
      </c>
      <c r="V69" s="57" t="n">
        <f aca="false">I69+J69+L69</f>
        <v>3727.8</v>
      </c>
    </row>
    <row r="70" customFormat="false" ht="15" hidden="false" customHeight="false" outlineLevel="0" collapsed="false">
      <c r="A70" s="71" t="s">
        <v>408</v>
      </c>
      <c r="B70" s="72" t="n">
        <f aca="false">$B$43</f>
        <v>1000</v>
      </c>
      <c r="C70" s="73" t="n">
        <f aca="false">$E$36</f>
        <v>317</v>
      </c>
      <c r="D70" s="73" t="n">
        <f aca="false">B70*C70*6</f>
        <v>1902000</v>
      </c>
      <c r="E70" s="73" t="n">
        <f aca="false">D70*$B$7</f>
        <v>152160</v>
      </c>
      <c r="F70" s="73" t="n">
        <f aca="false">-(D70*$B$8+IFERROR(D70/$B$10,0)*$B$9)</f>
        <v>-66570</v>
      </c>
      <c r="G70" s="73" t="n">
        <f aca="false">-D70*$B$11</f>
        <v>-19020</v>
      </c>
      <c r="H70" s="73" t="n">
        <f aca="false">-(D70*$B$12+IFERROR(D70*$B$12/$B$10,0)*$B$13)</f>
        <v>-9890.4</v>
      </c>
      <c r="I70" s="74" t="n">
        <f aca="false">E70+F70+G70+H70</f>
        <v>56679.6</v>
      </c>
      <c r="J70" s="73" t="n">
        <f aca="false">-$F$43/2</f>
        <v>-4922.16</v>
      </c>
      <c r="K70" s="72" t="n">
        <f aca="false">$C$43</f>
        <v>1</v>
      </c>
      <c r="L70" s="73" t="n">
        <f aca="false">-K70*$B$14*(1+$B$15)/2</f>
        <v>-48000</v>
      </c>
      <c r="M70" s="72" t="n">
        <f aca="false">$D$43</f>
        <v>0</v>
      </c>
      <c r="N70" s="73" t="n">
        <f aca="false">-M70*$B$23*(1+$B$15)/2</f>
        <v>-0</v>
      </c>
      <c r="O70" s="72" t="n">
        <f aca="false">$E$43</f>
        <v>0</v>
      </c>
      <c r="P70" s="73" t="n">
        <f aca="false">-O70*$B$24*(1+$B$15)/2</f>
        <v>-0</v>
      </c>
      <c r="Q70" s="73" t="n">
        <f aca="false">J70+L70+N70+P70</f>
        <v>-52922.16</v>
      </c>
      <c r="R70" s="74" t="n">
        <f aca="false">I70+Q70</f>
        <v>3757.44</v>
      </c>
      <c r="S70" s="73" t="n">
        <f aca="false">S69+R70</f>
        <v>6248.676</v>
      </c>
      <c r="T70" s="75" t="n">
        <f aca="false">IFERROR(I70/D70,0)</f>
        <v>0.0298</v>
      </c>
      <c r="U70" s="76" t="n">
        <f aca="false">IFERROR(R70/D70,0)</f>
        <v>0.00197552050473186</v>
      </c>
      <c r="V70" s="73" t="n">
        <f aca="false">I70+J70+L70</f>
        <v>3757.44</v>
      </c>
    </row>
    <row r="71" customFormat="false" ht="15" hidden="false" customHeight="false" outlineLevel="0" collapsed="false">
      <c r="A71" s="44" t="s">
        <v>409</v>
      </c>
      <c r="B71" s="70" t="n">
        <f aca="false">$B$44</f>
        <v>10000</v>
      </c>
      <c r="C71" s="57" t="n">
        <f aca="false">$E$36</f>
        <v>317</v>
      </c>
      <c r="D71" s="57" t="n">
        <f aca="false">B71*C71*6</f>
        <v>19020000</v>
      </c>
      <c r="E71" s="57" t="n">
        <f aca="false">D71*$B$7</f>
        <v>1521600</v>
      </c>
      <c r="F71" s="57" t="n">
        <f aca="false">-(D71*$B$8+IFERROR(D71/$B$10,0)*$B$9)</f>
        <v>-665700</v>
      </c>
      <c r="G71" s="57" t="n">
        <f aca="false">-D71*$B$11</f>
        <v>-190200</v>
      </c>
      <c r="H71" s="57" t="n">
        <f aca="false">-(D71*$B$12+IFERROR(D71*$B$12/$B$10,0)*$B$13)</f>
        <v>-98904</v>
      </c>
      <c r="I71" s="58" t="n">
        <f aca="false">E71+F71+G71+H71</f>
        <v>566796</v>
      </c>
      <c r="J71" s="57" t="n">
        <f aca="false">-$F$44/2</f>
        <v>-12216.66</v>
      </c>
      <c r="K71" s="70" t="n">
        <f aca="false">$C$44</f>
        <v>3</v>
      </c>
      <c r="L71" s="57" t="n">
        <f aca="false">-K71*$B$14*(1+$B$15)/2</f>
        <v>-144000</v>
      </c>
      <c r="M71" s="70" t="n">
        <f aca="false">$D$44</f>
        <v>2</v>
      </c>
      <c r="N71" s="57" t="n">
        <f aca="false">-M71*$B$23*(1+$B$15)/2</f>
        <v>-180000</v>
      </c>
      <c r="O71" s="70" t="n">
        <f aca="false">$E$44</f>
        <v>1</v>
      </c>
      <c r="P71" s="57" t="n">
        <f aca="false">-O71*$B$24*(1+$B$15)/2</f>
        <v>-39000</v>
      </c>
      <c r="Q71" s="57" t="n">
        <f aca="false">J71+L71+N71+P71</f>
        <v>-375216.66</v>
      </c>
      <c r="R71" s="58" t="n">
        <f aca="false">I71+Q71</f>
        <v>191579.34</v>
      </c>
      <c r="S71" s="57" t="n">
        <f aca="false">S70+R71</f>
        <v>197828.016</v>
      </c>
      <c r="T71" s="77" t="n">
        <f aca="false">IFERROR(I71/D71,0)</f>
        <v>0.0298</v>
      </c>
      <c r="U71" s="69" t="n">
        <f aca="false">IFERROR(R71/D71,0)</f>
        <v>0.0100725205047319</v>
      </c>
      <c r="V71" s="57" t="n">
        <f aca="false">I71+J71+L71</f>
        <v>410579.34</v>
      </c>
    </row>
    <row r="72" customFormat="false" ht="15" hidden="false" customHeight="false" outlineLevel="0" collapsed="false">
      <c r="A72" s="71" t="s">
        <v>410</v>
      </c>
      <c r="B72" s="72" t="n">
        <f aca="false">$B$45</f>
        <v>20000</v>
      </c>
      <c r="C72" s="73" t="n">
        <f aca="false">$E$36</f>
        <v>317</v>
      </c>
      <c r="D72" s="73" t="n">
        <f aca="false">B72*C72*6</f>
        <v>38040000</v>
      </c>
      <c r="E72" s="73" t="n">
        <f aca="false">D72*$B$7</f>
        <v>3043200</v>
      </c>
      <c r="F72" s="73" t="n">
        <f aca="false">-(D72*$B$8+IFERROR(D72/$B$10,0)*$B$9)</f>
        <v>-1331400</v>
      </c>
      <c r="G72" s="73" t="n">
        <f aca="false">-D72*$B$11</f>
        <v>-380400</v>
      </c>
      <c r="H72" s="73" t="n">
        <f aca="false">-(D72*$B$12+IFERROR(D72*$B$12/$B$10,0)*$B$13)</f>
        <v>-197808</v>
      </c>
      <c r="I72" s="74" t="n">
        <f aca="false">E72+F72+G72+H72</f>
        <v>1133592</v>
      </c>
      <c r="J72" s="73" t="n">
        <f aca="false">-$F$45/2</f>
        <v>-20799.06</v>
      </c>
      <c r="K72" s="72" t="n">
        <f aca="false">$C$45</f>
        <v>6</v>
      </c>
      <c r="L72" s="73" t="n">
        <f aca="false">-K72*$B$14*(1+$B$15)/2</f>
        <v>-288000</v>
      </c>
      <c r="M72" s="72" t="n">
        <f aca="false">$D$45</f>
        <v>3</v>
      </c>
      <c r="N72" s="73" t="n">
        <f aca="false">-M72*$B$23*(1+$B$15)/2</f>
        <v>-270000</v>
      </c>
      <c r="O72" s="72" t="n">
        <f aca="false">$E$45</f>
        <v>2</v>
      </c>
      <c r="P72" s="73" t="n">
        <f aca="false">-O72*$B$24*(1+$B$15)/2</f>
        <v>-78000</v>
      </c>
      <c r="Q72" s="73" t="n">
        <f aca="false">J72+L72+N72+P72</f>
        <v>-656799.06</v>
      </c>
      <c r="R72" s="74" t="n">
        <f aca="false">I72+Q72</f>
        <v>476792.94</v>
      </c>
      <c r="S72" s="73" t="n">
        <f aca="false">S71+R72</f>
        <v>674620.956</v>
      </c>
      <c r="T72" s="75" t="n">
        <f aca="false">IFERROR(I72/D72,0)</f>
        <v>0.0298</v>
      </c>
      <c r="U72" s="76" t="n">
        <f aca="false">IFERROR(R72/D72,0)</f>
        <v>0.0125339889589905</v>
      </c>
      <c r="V72" s="73" t="n">
        <f aca="false">I72+J72+L72</f>
        <v>824792.94</v>
      </c>
    </row>
    <row r="73" customFormat="false" ht="15" hidden="false" customHeight="false" outlineLevel="0" collapsed="false">
      <c r="A73" s="44" t="s">
        <v>411</v>
      </c>
      <c r="B73" s="70" t="n">
        <f aca="false">$B$46</f>
        <v>40000</v>
      </c>
      <c r="C73" s="57" t="n">
        <f aca="false">$E$36</f>
        <v>317</v>
      </c>
      <c r="D73" s="57" t="n">
        <f aca="false">B73*C73*6</f>
        <v>76080000</v>
      </c>
      <c r="E73" s="57" t="n">
        <f aca="false">D73*$B$7</f>
        <v>6086400</v>
      </c>
      <c r="F73" s="57" t="n">
        <f aca="false">-(D73*$B$8+IFERROR(D73/$B$10,0)*$B$9)</f>
        <v>-2662800</v>
      </c>
      <c r="G73" s="57" t="n">
        <f aca="false">-D73*$B$11</f>
        <v>-760800</v>
      </c>
      <c r="H73" s="57" t="n">
        <f aca="false">-(D73*$B$12+IFERROR(D73*$B$12/$B$10,0)*$B$13)</f>
        <v>-395616</v>
      </c>
      <c r="I73" s="58" t="n">
        <f aca="false">E73+F73+G73+H73</f>
        <v>2267184</v>
      </c>
      <c r="J73" s="57" t="n">
        <f aca="false">-$F$46/2</f>
        <v>-33819.06</v>
      </c>
      <c r="K73" s="70" t="n">
        <f aca="false">$C$46</f>
        <v>12</v>
      </c>
      <c r="L73" s="57" t="n">
        <f aca="false">-K73*$B$14*(1+$B$15)/2</f>
        <v>-576000</v>
      </c>
      <c r="M73" s="70" t="n">
        <f aca="false">$D$46</f>
        <v>5</v>
      </c>
      <c r="N73" s="57" t="n">
        <f aca="false">-M73*$B$23*(1+$B$15)/2</f>
        <v>-450000</v>
      </c>
      <c r="O73" s="70" t="n">
        <f aca="false">$E$46</f>
        <v>4</v>
      </c>
      <c r="P73" s="57" t="n">
        <f aca="false">-O73*$B$24*(1+$B$15)/2</f>
        <v>-156000</v>
      </c>
      <c r="Q73" s="57" t="n">
        <f aca="false">J73+L73+N73+P73</f>
        <v>-1215819.06</v>
      </c>
      <c r="R73" s="58" t="n">
        <f aca="false">I73+Q73</f>
        <v>1051364.94</v>
      </c>
      <c r="S73" s="57" t="n">
        <f aca="false">S72+R73</f>
        <v>1725985.896</v>
      </c>
      <c r="T73" s="77" t="n">
        <f aca="false">IFERROR(I73/D73,0)</f>
        <v>0.0298</v>
      </c>
      <c r="U73" s="69" t="n">
        <f aca="false">IFERROR(R73/D73,0)</f>
        <v>0.013819202681388</v>
      </c>
      <c r="V73" s="57" t="n">
        <f aca="false">I73+J73+L73</f>
        <v>1657364.94</v>
      </c>
    </row>
    <row r="74" customFormat="false" ht="15" hidden="false" customHeight="false" outlineLevel="0" collapsed="false">
      <c r="A74" s="52" t="s">
        <v>412</v>
      </c>
      <c r="B74" s="78" t="n">
        <f aca="false">B69</f>
        <v>100</v>
      </c>
      <c r="C74" s="51" t="n">
        <f aca="false">C69</f>
        <v>317</v>
      </c>
      <c r="D74" s="51" t="n">
        <f aca="false">SUM(D68:D69)</f>
        <v>209220</v>
      </c>
      <c r="E74" s="51" t="n">
        <f aca="false">SUM(E68:E69)</f>
        <v>16737.6</v>
      </c>
      <c r="F74" s="51" t="n">
        <f aca="false">SUM(F68:F69)</f>
        <v>-7322.7</v>
      </c>
      <c r="G74" s="51" t="n">
        <f aca="false">SUM(G68:G69)</f>
        <v>-2092.2</v>
      </c>
      <c r="H74" s="51" t="n">
        <f aca="false">SUM(H68:H69)</f>
        <v>-1087.944</v>
      </c>
      <c r="I74" s="51" t="n">
        <f aca="false">SUM(I68:I69)</f>
        <v>6234.756</v>
      </c>
      <c r="J74" s="51" t="n">
        <f aca="false">SUM(J68:J69)</f>
        <v>-3743.52</v>
      </c>
      <c r="K74" s="78" t="n">
        <f aca="false">K69</f>
        <v>0</v>
      </c>
      <c r="L74" s="51" t="n">
        <f aca="false">SUM(L68:L69)</f>
        <v>0</v>
      </c>
      <c r="M74" s="78" t="n">
        <f aca="false">M69</f>
        <v>0</v>
      </c>
      <c r="N74" s="51" t="n">
        <f aca="false">SUM(N68:N69)</f>
        <v>0</v>
      </c>
      <c r="O74" s="78" t="n">
        <f aca="false">O69</f>
        <v>0</v>
      </c>
      <c r="P74" s="51" t="n">
        <f aca="false">SUM(P68:P69)</f>
        <v>0</v>
      </c>
      <c r="Q74" s="51" t="n">
        <f aca="false">SUM(Q68:Q69)</f>
        <v>-3743.52</v>
      </c>
      <c r="R74" s="51" t="n">
        <f aca="false">SUM(R68:R69)</f>
        <v>2491.236</v>
      </c>
      <c r="S74" s="79"/>
      <c r="T74" s="80" t="n">
        <f aca="false">IFERROR(I74/D74,0)</f>
        <v>0.0298</v>
      </c>
      <c r="U74" s="81" t="n">
        <f aca="false">IFERROR(R74/D74,0)</f>
        <v>0.0119072555205047</v>
      </c>
      <c r="V74" s="51" t="n">
        <f aca="false">SUM(V68:V69)</f>
        <v>2491.236</v>
      </c>
    </row>
    <row r="75" customFormat="false" ht="15" hidden="false" customHeight="false" outlineLevel="0" collapsed="false">
      <c r="A75" s="52" t="s">
        <v>413</v>
      </c>
      <c r="B75" s="78" t="n">
        <f aca="false">B71</f>
        <v>10000</v>
      </c>
      <c r="C75" s="51" t="n">
        <f aca="false">C71</f>
        <v>317</v>
      </c>
      <c r="D75" s="51" t="n">
        <f aca="false">SUM(D70:D71)</f>
        <v>20922000</v>
      </c>
      <c r="E75" s="51" t="n">
        <f aca="false">SUM(E70:E71)</f>
        <v>1673760</v>
      </c>
      <c r="F75" s="51" t="n">
        <f aca="false">SUM(F70:F71)</f>
        <v>-732270</v>
      </c>
      <c r="G75" s="51" t="n">
        <f aca="false">SUM(G70:G71)</f>
        <v>-209220</v>
      </c>
      <c r="H75" s="51" t="n">
        <f aca="false">SUM(H70:H71)</f>
        <v>-108794.4</v>
      </c>
      <c r="I75" s="51" t="n">
        <f aca="false">SUM(I70:I71)</f>
        <v>623475.6</v>
      </c>
      <c r="J75" s="51" t="n">
        <f aca="false">SUM(J70:J71)</f>
        <v>-17138.82</v>
      </c>
      <c r="K75" s="78" t="n">
        <f aca="false">K71</f>
        <v>3</v>
      </c>
      <c r="L75" s="51" t="n">
        <f aca="false">SUM(L70:L71)</f>
        <v>-192000</v>
      </c>
      <c r="M75" s="78" t="n">
        <f aca="false">M71</f>
        <v>2</v>
      </c>
      <c r="N75" s="51" t="n">
        <f aca="false">SUM(N70:N71)</f>
        <v>-180000</v>
      </c>
      <c r="O75" s="78" t="n">
        <f aca="false">O71</f>
        <v>1</v>
      </c>
      <c r="P75" s="51" t="n">
        <f aca="false">SUM(P70:P71)</f>
        <v>-39000</v>
      </c>
      <c r="Q75" s="51" t="n">
        <f aca="false">SUM(Q70:Q71)</f>
        <v>-428138.82</v>
      </c>
      <c r="R75" s="51" t="n">
        <f aca="false">SUM(R70:R71)</f>
        <v>195336.78</v>
      </c>
      <c r="S75" s="79"/>
      <c r="T75" s="80" t="n">
        <f aca="false">IFERROR(I75/D75,0)</f>
        <v>0.0298</v>
      </c>
      <c r="U75" s="81" t="n">
        <f aca="false">IFERROR(R75/D75,0)</f>
        <v>0.00933642959564095</v>
      </c>
      <c r="V75" s="51" t="n">
        <f aca="false">SUM(V70:V71)</f>
        <v>414336.78</v>
      </c>
    </row>
    <row r="76" customFormat="false" ht="15" hidden="false" customHeight="false" outlineLevel="0" collapsed="false">
      <c r="A76" s="52" t="s">
        <v>414</v>
      </c>
      <c r="B76" s="78" t="n">
        <f aca="false">B73</f>
        <v>40000</v>
      </c>
      <c r="C76" s="51" t="n">
        <f aca="false">C73</f>
        <v>317</v>
      </c>
      <c r="D76" s="51" t="n">
        <f aca="false">SUM(D72:D73)</f>
        <v>114120000</v>
      </c>
      <c r="E76" s="51" t="n">
        <f aca="false">SUM(E72:E73)</f>
        <v>9129600</v>
      </c>
      <c r="F76" s="51" t="n">
        <f aca="false">SUM(F72:F73)</f>
        <v>-3994200</v>
      </c>
      <c r="G76" s="51" t="n">
        <f aca="false">SUM(G72:G73)</f>
        <v>-1141200</v>
      </c>
      <c r="H76" s="51" t="n">
        <f aca="false">SUM(H72:H73)</f>
        <v>-593424</v>
      </c>
      <c r="I76" s="51" t="n">
        <f aca="false">SUM(I72:I73)</f>
        <v>3400776</v>
      </c>
      <c r="J76" s="51" t="n">
        <f aca="false">SUM(J72:J73)</f>
        <v>-54618.12</v>
      </c>
      <c r="K76" s="78" t="n">
        <f aca="false">K73</f>
        <v>12</v>
      </c>
      <c r="L76" s="51" t="n">
        <f aca="false">SUM(L72:L73)</f>
        <v>-864000</v>
      </c>
      <c r="M76" s="78" t="n">
        <f aca="false">M73</f>
        <v>5</v>
      </c>
      <c r="N76" s="51" t="n">
        <f aca="false">SUM(N72:N73)</f>
        <v>-720000</v>
      </c>
      <c r="O76" s="78" t="n">
        <f aca="false">O73</f>
        <v>4</v>
      </c>
      <c r="P76" s="51" t="n">
        <f aca="false">SUM(P72:P73)</f>
        <v>-234000</v>
      </c>
      <c r="Q76" s="51" t="n">
        <f aca="false">SUM(Q72:Q73)</f>
        <v>-1872618.12</v>
      </c>
      <c r="R76" s="51" t="n">
        <f aca="false">SUM(R72:R73)</f>
        <v>1528157.88</v>
      </c>
      <c r="S76" s="79"/>
      <c r="T76" s="80" t="n">
        <f aca="false">IFERROR(I76/D76,0)</f>
        <v>0.0298</v>
      </c>
      <c r="U76" s="81" t="n">
        <f aca="false">IFERROR(R76/D76,0)</f>
        <v>0.0133907981072555</v>
      </c>
      <c r="V76" s="51" t="n">
        <f aca="false">SUM(V72:V73)</f>
        <v>2482157.88</v>
      </c>
    </row>
    <row r="77" customFormat="false" ht="15" hidden="false" customHeight="false" outlineLevel="0" collapsed="false">
      <c r="A77" s="52" t="s">
        <v>415</v>
      </c>
      <c r="B77" s="78" t="n">
        <f aca="false">B73</f>
        <v>40000</v>
      </c>
      <c r="C77" s="51" t="n">
        <f aca="false">C73</f>
        <v>317</v>
      </c>
      <c r="D77" s="51" t="n">
        <f aca="false">SUM(D68:D73)</f>
        <v>135251220</v>
      </c>
      <c r="E77" s="51" t="n">
        <f aca="false">SUM(E68:E73)</f>
        <v>10820097.6</v>
      </c>
      <c r="F77" s="51" t="n">
        <f aca="false">SUM(F68:F73)</f>
        <v>-4733792.7</v>
      </c>
      <c r="G77" s="51" t="n">
        <f aca="false">SUM(G68:G73)</f>
        <v>-1352512.2</v>
      </c>
      <c r="H77" s="51" t="n">
        <f aca="false">SUM(H68:H73)</f>
        <v>-703306.344</v>
      </c>
      <c r="I77" s="51" t="n">
        <f aca="false">SUM(I68:I73)</f>
        <v>4030486.356</v>
      </c>
      <c r="J77" s="51" t="n">
        <f aca="false">SUM(J68:J73)</f>
        <v>-75500.46</v>
      </c>
      <c r="K77" s="78" t="n">
        <f aca="false">K73</f>
        <v>12</v>
      </c>
      <c r="L77" s="51" t="n">
        <f aca="false">SUM(L68:L73)</f>
        <v>-1056000</v>
      </c>
      <c r="M77" s="78" t="n">
        <f aca="false">M73</f>
        <v>5</v>
      </c>
      <c r="N77" s="51" t="n">
        <f aca="false">SUM(N68:N73)</f>
        <v>-900000</v>
      </c>
      <c r="O77" s="78" t="n">
        <f aca="false">O73</f>
        <v>4</v>
      </c>
      <c r="P77" s="51" t="n">
        <f aca="false">SUM(P68:P73)</f>
        <v>-273000</v>
      </c>
      <c r="Q77" s="51" t="n">
        <f aca="false">SUM(Q68:Q73)</f>
        <v>-2304500.46</v>
      </c>
      <c r="R77" s="51" t="n">
        <f aca="false">SUM(R68:R73)</f>
        <v>1725985.896</v>
      </c>
      <c r="S77" s="79"/>
      <c r="T77" s="80" t="n">
        <f aca="false">IFERROR(I77/D77,0)</f>
        <v>0.0298</v>
      </c>
      <c r="U77" s="81" t="n">
        <f aca="false">IFERROR(R77/D77,0)</f>
        <v>0.0127613332877885</v>
      </c>
      <c r="V77" s="51" t="n">
        <f aca="false">SUM(V68:V73)</f>
        <v>2898985.896</v>
      </c>
    </row>
    <row r="82" customFormat="false" ht="15" hidden="false" customHeight="false" outlineLevel="0" collapsed="false">
      <c r="A82" s="52" t="s">
        <v>417</v>
      </c>
    </row>
    <row r="83" customFormat="false" ht="30" hidden="false" customHeight="true" outlineLevel="0" collapsed="false">
      <c r="A83" s="23" t="s">
        <v>388</v>
      </c>
      <c r="B83" s="23" t="s">
        <v>48</v>
      </c>
      <c r="C83" s="23" t="s">
        <v>361</v>
      </c>
      <c r="D83" s="23" t="s">
        <v>389</v>
      </c>
      <c r="E83" s="23" t="s">
        <v>390</v>
      </c>
      <c r="F83" s="23" t="s">
        <v>391</v>
      </c>
      <c r="G83" s="23" t="s">
        <v>392</v>
      </c>
      <c r="H83" s="23" t="s">
        <v>393</v>
      </c>
      <c r="I83" s="23" t="s">
        <v>104</v>
      </c>
      <c r="J83" s="23" t="s">
        <v>394</v>
      </c>
      <c r="K83" s="23" t="s">
        <v>368</v>
      </c>
      <c r="L83" s="23" t="s">
        <v>395</v>
      </c>
      <c r="M83" s="23" t="s">
        <v>396</v>
      </c>
      <c r="N83" s="23" t="s">
        <v>397</v>
      </c>
      <c r="O83" s="23" t="s">
        <v>398</v>
      </c>
      <c r="P83" s="23" t="s">
        <v>399</v>
      </c>
      <c r="Q83" s="23" t="s">
        <v>400</v>
      </c>
      <c r="R83" s="23" t="s">
        <v>401</v>
      </c>
      <c r="S83" s="23" t="s">
        <v>402</v>
      </c>
      <c r="T83" s="23" t="s">
        <v>403</v>
      </c>
      <c r="U83" s="23" t="s">
        <v>404</v>
      </c>
      <c r="V83" s="23" t="s">
        <v>405</v>
      </c>
    </row>
    <row r="84" customFormat="false" ht="15" hidden="false" customHeight="false" outlineLevel="0" collapsed="false">
      <c r="A84" s="71" t="s">
        <v>406</v>
      </c>
      <c r="B84" s="72" t="n">
        <f aca="false">$B$41</f>
        <v>10</v>
      </c>
      <c r="C84" s="73" t="n">
        <f aca="false">$E$37</f>
        <v>179</v>
      </c>
      <c r="D84" s="73" t="n">
        <f aca="false">B84*C84*6</f>
        <v>10740</v>
      </c>
      <c r="E84" s="73" t="n">
        <f aca="false">D84*$B$7</f>
        <v>859.2</v>
      </c>
      <c r="F84" s="73" t="n">
        <f aca="false">-(D84*$B$8+IFERROR(D84/$B$10,0)*$B$9)</f>
        <v>-375.9</v>
      </c>
      <c r="G84" s="73" t="n">
        <f aca="false">-D84*$B$11</f>
        <v>-107.4</v>
      </c>
      <c r="H84" s="73" t="n">
        <f aca="false">-(D84*$B$12+IFERROR(D84*$B$12/$B$10,0)*$B$13)</f>
        <v>-55.848</v>
      </c>
      <c r="I84" s="74" t="n">
        <f aca="false">E84+F84+G84+H84</f>
        <v>320.052</v>
      </c>
      <c r="J84" s="73" t="n">
        <f aca="false">-$F$41/2</f>
        <v>-1803.36</v>
      </c>
      <c r="K84" s="72" t="n">
        <f aca="false">$C$41</f>
        <v>0</v>
      </c>
      <c r="L84" s="73" t="n">
        <f aca="false">-K84*$B$14*(1+$B$15)/2</f>
        <v>-0</v>
      </c>
      <c r="M84" s="72" t="n">
        <f aca="false">$D$41</f>
        <v>0</v>
      </c>
      <c r="N84" s="73" t="n">
        <f aca="false">-M84*$B$23*(1+$B$15)/2</f>
        <v>-0</v>
      </c>
      <c r="O84" s="72" t="n">
        <f aca="false">$E$41</f>
        <v>0</v>
      </c>
      <c r="P84" s="73" t="n">
        <f aca="false">-O84*$B$24*(1+$B$15)/2</f>
        <v>-0</v>
      </c>
      <c r="Q84" s="73" t="n">
        <f aca="false">J84+L84+N84+P84</f>
        <v>-1803.36</v>
      </c>
      <c r="R84" s="74" t="n">
        <f aca="false">I84+Q84</f>
        <v>-1483.308</v>
      </c>
      <c r="S84" s="73" t="n">
        <f aca="false">R84</f>
        <v>-1483.308</v>
      </c>
      <c r="T84" s="75" t="n">
        <f aca="false">IFERROR(I84/D84,0)</f>
        <v>0.0298</v>
      </c>
      <c r="U84" s="76" t="n">
        <f aca="false">IFERROR(R84/D84,0)</f>
        <v>-0.13811061452514</v>
      </c>
      <c r="V84" s="73" t="n">
        <f aca="false">I84+J84+L84</f>
        <v>-1483.308</v>
      </c>
    </row>
    <row r="85" customFormat="false" ht="15" hidden="false" customHeight="false" outlineLevel="0" collapsed="false">
      <c r="A85" s="44" t="s">
        <v>407</v>
      </c>
      <c r="B85" s="70" t="n">
        <f aca="false">$B$42</f>
        <v>100</v>
      </c>
      <c r="C85" s="57" t="n">
        <f aca="false">$E$37</f>
        <v>179</v>
      </c>
      <c r="D85" s="57" t="n">
        <f aca="false">B85*C85*6</f>
        <v>107400</v>
      </c>
      <c r="E85" s="57" t="n">
        <f aca="false">D85*$B$7</f>
        <v>8592</v>
      </c>
      <c r="F85" s="57" t="n">
        <f aca="false">-(D85*$B$8+IFERROR(D85/$B$10,0)*$B$9)</f>
        <v>-3759</v>
      </c>
      <c r="G85" s="57" t="n">
        <f aca="false">-D85*$B$11</f>
        <v>-1074</v>
      </c>
      <c r="H85" s="57" t="n">
        <f aca="false">-(D85*$B$12+IFERROR(D85*$B$12/$B$10,0)*$B$13)</f>
        <v>-558.48</v>
      </c>
      <c r="I85" s="58" t="n">
        <f aca="false">E85+F85+G85+H85</f>
        <v>3200.52</v>
      </c>
      <c r="J85" s="57" t="n">
        <f aca="false">-$F$42/2</f>
        <v>-1940.16</v>
      </c>
      <c r="K85" s="70" t="n">
        <f aca="false">$C$42</f>
        <v>0</v>
      </c>
      <c r="L85" s="57" t="n">
        <f aca="false">-K85*$B$14*(1+$B$15)/2</f>
        <v>-0</v>
      </c>
      <c r="M85" s="70" t="n">
        <f aca="false">$D$42</f>
        <v>0</v>
      </c>
      <c r="N85" s="57" t="n">
        <f aca="false">-M85*$B$23*(1+$B$15)/2</f>
        <v>-0</v>
      </c>
      <c r="O85" s="70" t="n">
        <f aca="false">$E$42</f>
        <v>0</v>
      </c>
      <c r="P85" s="57" t="n">
        <f aca="false">-O85*$B$24*(1+$B$15)/2</f>
        <v>-0</v>
      </c>
      <c r="Q85" s="57" t="n">
        <f aca="false">J85+L85+N85+P85</f>
        <v>-1940.16</v>
      </c>
      <c r="R85" s="58" t="n">
        <f aca="false">I85+Q85</f>
        <v>1260.36</v>
      </c>
      <c r="S85" s="57" t="n">
        <f aca="false">S84+R85</f>
        <v>-222.948000000001</v>
      </c>
      <c r="T85" s="77" t="n">
        <f aca="false">IFERROR(I85/D85,0)</f>
        <v>0.0298</v>
      </c>
      <c r="U85" s="69" t="n">
        <f aca="false">IFERROR(R85/D85,0)</f>
        <v>0.0117351955307263</v>
      </c>
      <c r="V85" s="57" t="n">
        <f aca="false">I85+J85+L85</f>
        <v>1260.36</v>
      </c>
    </row>
    <row r="86" customFormat="false" ht="15" hidden="false" customHeight="false" outlineLevel="0" collapsed="false">
      <c r="A86" s="71" t="s">
        <v>408</v>
      </c>
      <c r="B86" s="72" t="n">
        <f aca="false">$B$43</f>
        <v>1000</v>
      </c>
      <c r="C86" s="73" t="n">
        <f aca="false">$E$37</f>
        <v>179</v>
      </c>
      <c r="D86" s="73" t="n">
        <f aca="false">B86*C86*6</f>
        <v>1074000</v>
      </c>
      <c r="E86" s="73" t="n">
        <f aca="false">D86*$B$7</f>
        <v>85920</v>
      </c>
      <c r="F86" s="73" t="n">
        <f aca="false">-(D86*$B$8+IFERROR(D86/$B$10,0)*$B$9)</f>
        <v>-37590</v>
      </c>
      <c r="G86" s="73" t="n">
        <f aca="false">-D86*$B$11</f>
        <v>-10740</v>
      </c>
      <c r="H86" s="73" t="n">
        <f aca="false">-(D86*$B$12+IFERROR(D86*$B$12/$B$10,0)*$B$13)</f>
        <v>-5584.8</v>
      </c>
      <c r="I86" s="74" t="n">
        <f aca="false">E86+F86+G86+H86</f>
        <v>32005.2</v>
      </c>
      <c r="J86" s="73" t="n">
        <f aca="false">-$F$43/2</f>
        <v>-4922.16</v>
      </c>
      <c r="K86" s="72" t="n">
        <f aca="false">$C$43</f>
        <v>1</v>
      </c>
      <c r="L86" s="73" t="n">
        <f aca="false">-K86*$B$14*(1+$B$15)/2</f>
        <v>-48000</v>
      </c>
      <c r="M86" s="72" t="n">
        <f aca="false">$D$43</f>
        <v>0</v>
      </c>
      <c r="N86" s="73" t="n">
        <f aca="false">-M86*$B$23*(1+$B$15)/2</f>
        <v>-0</v>
      </c>
      <c r="O86" s="72" t="n">
        <f aca="false">$E$43</f>
        <v>0</v>
      </c>
      <c r="P86" s="73" t="n">
        <f aca="false">-O86*$B$24*(1+$B$15)/2</f>
        <v>-0</v>
      </c>
      <c r="Q86" s="73" t="n">
        <f aca="false">J86+L86+N86+P86</f>
        <v>-52922.16</v>
      </c>
      <c r="R86" s="74" t="n">
        <f aca="false">I86+Q86</f>
        <v>-20916.96</v>
      </c>
      <c r="S86" s="73" t="n">
        <f aca="false">S85+R86</f>
        <v>-21139.908</v>
      </c>
      <c r="T86" s="75" t="n">
        <f aca="false">IFERROR(I86/D86,0)</f>
        <v>0.0298</v>
      </c>
      <c r="U86" s="76" t="n">
        <f aca="false">IFERROR(R86/D86,0)</f>
        <v>-0.0194757541899442</v>
      </c>
      <c r="V86" s="73" t="n">
        <f aca="false">I86+J86+L86</f>
        <v>-20916.96</v>
      </c>
    </row>
    <row r="87" customFormat="false" ht="15" hidden="false" customHeight="false" outlineLevel="0" collapsed="false">
      <c r="A87" s="44" t="s">
        <v>409</v>
      </c>
      <c r="B87" s="70" t="n">
        <f aca="false">$B$44</f>
        <v>10000</v>
      </c>
      <c r="C87" s="57" t="n">
        <f aca="false">$E$37</f>
        <v>179</v>
      </c>
      <c r="D87" s="57" t="n">
        <f aca="false">B87*C87*6</f>
        <v>10740000</v>
      </c>
      <c r="E87" s="57" t="n">
        <f aca="false">D87*$B$7</f>
        <v>859200</v>
      </c>
      <c r="F87" s="57" t="n">
        <f aca="false">-(D87*$B$8+IFERROR(D87/$B$10,0)*$B$9)</f>
        <v>-375900</v>
      </c>
      <c r="G87" s="57" t="n">
        <f aca="false">-D87*$B$11</f>
        <v>-107400</v>
      </c>
      <c r="H87" s="57" t="n">
        <f aca="false">-(D87*$B$12+IFERROR(D87*$B$12/$B$10,0)*$B$13)</f>
        <v>-55848</v>
      </c>
      <c r="I87" s="58" t="n">
        <f aca="false">E87+F87+G87+H87</f>
        <v>320052</v>
      </c>
      <c r="J87" s="57" t="n">
        <f aca="false">-$F$44/2</f>
        <v>-12216.66</v>
      </c>
      <c r="K87" s="70" t="n">
        <f aca="false">$C$44</f>
        <v>3</v>
      </c>
      <c r="L87" s="57" t="n">
        <f aca="false">-K87*$B$14*(1+$B$15)/2</f>
        <v>-144000</v>
      </c>
      <c r="M87" s="70" t="n">
        <f aca="false">$D$44</f>
        <v>2</v>
      </c>
      <c r="N87" s="57" t="n">
        <f aca="false">-M87*$B$23*(1+$B$15)/2</f>
        <v>-180000</v>
      </c>
      <c r="O87" s="70" t="n">
        <f aca="false">$E$44</f>
        <v>1</v>
      </c>
      <c r="P87" s="57" t="n">
        <f aca="false">-O87*$B$24*(1+$B$15)/2</f>
        <v>-39000</v>
      </c>
      <c r="Q87" s="57" t="n">
        <f aca="false">J87+L87+N87+P87</f>
        <v>-375216.66</v>
      </c>
      <c r="R87" s="58" t="n">
        <f aca="false">I87+Q87</f>
        <v>-55164.6600000001</v>
      </c>
      <c r="S87" s="57" t="n">
        <f aca="false">S86+R87</f>
        <v>-76304.5680000001</v>
      </c>
      <c r="T87" s="77" t="n">
        <f aca="false">IFERROR(I87/D87,0)</f>
        <v>0.0298</v>
      </c>
      <c r="U87" s="69" t="n">
        <f aca="false">IFERROR(R87/D87,0)</f>
        <v>-0.00513637430167599</v>
      </c>
      <c r="V87" s="57" t="n">
        <f aca="false">I87+J87+L87</f>
        <v>163835.34</v>
      </c>
    </row>
    <row r="88" customFormat="false" ht="15" hidden="false" customHeight="false" outlineLevel="0" collapsed="false">
      <c r="A88" s="71" t="s">
        <v>410</v>
      </c>
      <c r="B88" s="72" t="n">
        <f aca="false">$B$45</f>
        <v>20000</v>
      </c>
      <c r="C88" s="73" t="n">
        <f aca="false">$E$37</f>
        <v>179</v>
      </c>
      <c r="D88" s="73" t="n">
        <f aca="false">B88*C88*6</f>
        <v>21480000</v>
      </c>
      <c r="E88" s="73" t="n">
        <f aca="false">D88*$B$7</f>
        <v>1718400</v>
      </c>
      <c r="F88" s="73" t="n">
        <f aca="false">-(D88*$B$8+IFERROR(D88/$B$10,0)*$B$9)</f>
        <v>-751800</v>
      </c>
      <c r="G88" s="73" t="n">
        <f aca="false">-D88*$B$11</f>
        <v>-214800</v>
      </c>
      <c r="H88" s="73" t="n">
        <f aca="false">-(D88*$B$12+IFERROR(D88*$B$12/$B$10,0)*$B$13)</f>
        <v>-111696</v>
      </c>
      <c r="I88" s="74" t="n">
        <f aca="false">E88+F88+G88+H88</f>
        <v>640104</v>
      </c>
      <c r="J88" s="73" t="n">
        <f aca="false">-$F$45/2</f>
        <v>-20799.06</v>
      </c>
      <c r="K88" s="72" t="n">
        <f aca="false">$C$45</f>
        <v>6</v>
      </c>
      <c r="L88" s="73" t="n">
        <f aca="false">-K88*$B$14*(1+$B$15)/2</f>
        <v>-288000</v>
      </c>
      <c r="M88" s="72" t="n">
        <f aca="false">$D$45</f>
        <v>3</v>
      </c>
      <c r="N88" s="73" t="n">
        <f aca="false">-M88*$B$23*(1+$B$15)/2</f>
        <v>-270000</v>
      </c>
      <c r="O88" s="72" t="n">
        <f aca="false">$E$45</f>
        <v>2</v>
      </c>
      <c r="P88" s="73" t="n">
        <f aca="false">-O88*$B$24*(1+$B$15)/2</f>
        <v>-78000</v>
      </c>
      <c r="Q88" s="73" t="n">
        <f aca="false">J88+L88+N88+P88</f>
        <v>-656799.06</v>
      </c>
      <c r="R88" s="74" t="n">
        <f aca="false">I88+Q88</f>
        <v>-16695.0600000002</v>
      </c>
      <c r="S88" s="73" t="n">
        <f aca="false">S87+R88</f>
        <v>-92999.6280000003</v>
      </c>
      <c r="T88" s="75" t="n">
        <f aca="false">IFERROR(I88/D88,0)</f>
        <v>0.0298</v>
      </c>
      <c r="U88" s="76" t="n">
        <f aca="false">IFERROR(R88/D88,0)</f>
        <v>-0.000777237430167606</v>
      </c>
      <c r="V88" s="73" t="n">
        <f aca="false">I88+J88+L88</f>
        <v>331304.94</v>
      </c>
    </row>
    <row r="89" customFormat="false" ht="15" hidden="false" customHeight="false" outlineLevel="0" collapsed="false">
      <c r="A89" s="44" t="s">
        <v>411</v>
      </c>
      <c r="B89" s="70" t="n">
        <f aca="false">$B$46</f>
        <v>40000</v>
      </c>
      <c r="C89" s="57" t="n">
        <f aca="false">$E$37</f>
        <v>179</v>
      </c>
      <c r="D89" s="57" t="n">
        <f aca="false">B89*C89*6</f>
        <v>42960000</v>
      </c>
      <c r="E89" s="57" t="n">
        <f aca="false">D89*$B$7</f>
        <v>3436800</v>
      </c>
      <c r="F89" s="57" t="n">
        <f aca="false">-(D89*$B$8+IFERROR(D89/$B$10,0)*$B$9)</f>
        <v>-1503600</v>
      </c>
      <c r="G89" s="57" t="n">
        <f aca="false">-D89*$B$11</f>
        <v>-429600</v>
      </c>
      <c r="H89" s="57" t="n">
        <f aca="false">-(D89*$B$12+IFERROR(D89*$B$12/$B$10,0)*$B$13)</f>
        <v>-223392</v>
      </c>
      <c r="I89" s="58" t="n">
        <f aca="false">E89+F89+G89+H89</f>
        <v>1280208</v>
      </c>
      <c r="J89" s="57" t="n">
        <f aca="false">-$F$46/2</f>
        <v>-33819.06</v>
      </c>
      <c r="K89" s="70" t="n">
        <f aca="false">$C$46</f>
        <v>12</v>
      </c>
      <c r="L89" s="57" t="n">
        <f aca="false">-K89*$B$14*(1+$B$15)/2</f>
        <v>-576000</v>
      </c>
      <c r="M89" s="70" t="n">
        <f aca="false">$D$46</f>
        <v>5</v>
      </c>
      <c r="N89" s="57" t="n">
        <f aca="false">-M89*$B$23*(1+$B$15)/2</f>
        <v>-450000</v>
      </c>
      <c r="O89" s="70" t="n">
        <f aca="false">$E$46</f>
        <v>4</v>
      </c>
      <c r="P89" s="57" t="n">
        <f aca="false">-O89*$B$24*(1+$B$15)/2</f>
        <v>-156000</v>
      </c>
      <c r="Q89" s="57" t="n">
        <f aca="false">J89+L89+N89+P89</f>
        <v>-1215819.06</v>
      </c>
      <c r="R89" s="58" t="n">
        <f aca="false">I89+Q89</f>
        <v>64388.9399999997</v>
      </c>
      <c r="S89" s="57" t="n">
        <f aca="false">S88+R89</f>
        <v>-28610.6880000006</v>
      </c>
      <c r="T89" s="77" t="n">
        <f aca="false">IFERROR(I89/D89,0)</f>
        <v>0.0298</v>
      </c>
      <c r="U89" s="69" t="n">
        <f aca="false">IFERROR(R89/D89,0)</f>
        <v>0.00149881145251396</v>
      </c>
      <c r="V89" s="57" t="n">
        <f aca="false">I89+J89+L89</f>
        <v>670388.94</v>
      </c>
    </row>
    <row r="90" customFormat="false" ht="15" hidden="false" customHeight="false" outlineLevel="0" collapsed="false">
      <c r="A90" s="52" t="s">
        <v>412</v>
      </c>
      <c r="B90" s="78" t="n">
        <f aca="false">B85</f>
        <v>100</v>
      </c>
      <c r="C90" s="51" t="n">
        <f aca="false">C85</f>
        <v>179</v>
      </c>
      <c r="D90" s="51" t="n">
        <f aca="false">SUM(D84:D85)</f>
        <v>118140</v>
      </c>
      <c r="E90" s="51" t="n">
        <f aca="false">SUM(E84:E85)</f>
        <v>9451.2</v>
      </c>
      <c r="F90" s="51" t="n">
        <f aca="false">SUM(F84:F85)</f>
        <v>-4134.9</v>
      </c>
      <c r="G90" s="51" t="n">
        <f aca="false">SUM(G84:G85)</f>
        <v>-1181.4</v>
      </c>
      <c r="H90" s="51" t="n">
        <f aca="false">SUM(H84:H85)</f>
        <v>-614.328</v>
      </c>
      <c r="I90" s="51" t="n">
        <f aca="false">SUM(I84:I85)</f>
        <v>3520.572</v>
      </c>
      <c r="J90" s="51" t="n">
        <f aca="false">SUM(J84:J85)</f>
        <v>-3743.52</v>
      </c>
      <c r="K90" s="78" t="n">
        <f aca="false">K85</f>
        <v>0</v>
      </c>
      <c r="L90" s="51" t="n">
        <f aca="false">SUM(L84:L85)</f>
        <v>0</v>
      </c>
      <c r="M90" s="78" t="n">
        <f aca="false">M85</f>
        <v>0</v>
      </c>
      <c r="N90" s="51" t="n">
        <f aca="false">SUM(N84:N85)</f>
        <v>0</v>
      </c>
      <c r="O90" s="78" t="n">
        <f aca="false">O85</f>
        <v>0</v>
      </c>
      <c r="P90" s="51" t="n">
        <f aca="false">SUM(P84:P85)</f>
        <v>0</v>
      </c>
      <c r="Q90" s="51" t="n">
        <f aca="false">SUM(Q84:Q85)</f>
        <v>-3743.52</v>
      </c>
      <c r="R90" s="51" t="n">
        <f aca="false">SUM(R84:R85)</f>
        <v>-222.948000000001</v>
      </c>
      <c r="S90" s="79"/>
      <c r="T90" s="80" t="n">
        <f aca="false">IFERROR(I90/D90,0)</f>
        <v>0.0298</v>
      </c>
      <c r="U90" s="81" t="n">
        <f aca="false">IFERROR(R90/D90,0)</f>
        <v>-0.00188715083798884</v>
      </c>
      <c r="V90" s="51" t="n">
        <f aca="false">SUM(V84:V85)</f>
        <v>-222.948000000001</v>
      </c>
    </row>
    <row r="91" customFormat="false" ht="15" hidden="false" customHeight="false" outlineLevel="0" collapsed="false">
      <c r="A91" s="52" t="s">
        <v>413</v>
      </c>
      <c r="B91" s="78" t="n">
        <f aca="false">B87</f>
        <v>10000</v>
      </c>
      <c r="C91" s="51" t="n">
        <f aca="false">C87</f>
        <v>179</v>
      </c>
      <c r="D91" s="51" t="n">
        <f aca="false">SUM(D86:D87)</f>
        <v>11814000</v>
      </c>
      <c r="E91" s="51" t="n">
        <f aca="false">SUM(E86:E87)</f>
        <v>945120</v>
      </c>
      <c r="F91" s="51" t="n">
        <f aca="false">SUM(F86:F87)</f>
        <v>-413490</v>
      </c>
      <c r="G91" s="51" t="n">
        <f aca="false">SUM(G86:G87)</f>
        <v>-118140</v>
      </c>
      <c r="H91" s="51" t="n">
        <f aca="false">SUM(H86:H87)</f>
        <v>-61432.8</v>
      </c>
      <c r="I91" s="51" t="n">
        <f aca="false">SUM(I86:I87)</f>
        <v>352057.2</v>
      </c>
      <c r="J91" s="51" t="n">
        <f aca="false">SUM(J86:J87)</f>
        <v>-17138.82</v>
      </c>
      <c r="K91" s="78" t="n">
        <f aca="false">K87</f>
        <v>3</v>
      </c>
      <c r="L91" s="51" t="n">
        <f aca="false">SUM(L86:L87)</f>
        <v>-192000</v>
      </c>
      <c r="M91" s="78" t="n">
        <f aca="false">M87</f>
        <v>2</v>
      </c>
      <c r="N91" s="51" t="n">
        <f aca="false">SUM(N86:N87)</f>
        <v>-180000</v>
      </c>
      <c r="O91" s="78" t="n">
        <f aca="false">O87</f>
        <v>1</v>
      </c>
      <c r="P91" s="51" t="n">
        <f aca="false">SUM(P86:P87)</f>
        <v>-39000</v>
      </c>
      <c r="Q91" s="51" t="n">
        <f aca="false">SUM(Q86:Q87)</f>
        <v>-428138.82</v>
      </c>
      <c r="R91" s="51" t="n">
        <f aca="false">SUM(R86:R87)</f>
        <v>-76081.6200000001</v>
      </c>
      <c r="S91" s="79"/>
      <c r="T91" s="80" t="n">
        <f aca="false">IFERROR(I91/D91,0)</f>
        <v>0.0298</v>
      </c>
      <c r="U91" s="81" t="n">
        <f aca="false">IFERROR(R91/D91,0)</f>
        <v>-0.00643995429151855</v>
      </c>
      <c r="V91" s="51" t="n">
        <f aca="false">SUM(V86:V87)</f>
        <v>142918.38</v>
      </c>
    </row>
    <row r="92" customFormat="false" ht="15" hidden="false" customHeight="false" outlineLevel="0" collapsed="false">
      <c r="A92" s="52" t="s">
        <v>414</v>
      </c>
      <c r="B92" s="78" t="n">
        <f aca="false">B89</f>
        <v>40000</v>
      </c>
      <c r="C92" s="51" t="n">
        <f aca="false">C89</f>
        <v>179</v>
      </c>
      <c r="D92" s="51" t="n">
        <f aca="false">SUM(D88:D89)</f>
        <v>64440000</v>
      </c>
      <c r="E92" s="51" t="n">
        <f aca="false">SUM(E88:E89)</f>
        <v>5155200</v>
      </c>
      <c r="F92" s="51" t="n">
        <f aca="false">SUM(F88:F89)</f>
        <v>-2255400</v>
      </c>
      <c r="G92" s="51" t="n">
        <f aca="false">SUM(G88:G89)</f>
        <v>-644400</v>
      </c>
      <c r="H92" s="51" t="n">
        <f aca="false">SUM(H88:H89)</f>
        <v>-335088</v>
      </c>
      <c r="I92" s="51" t="n">
        <f aca="false">SUM(I88:I89)</f>
        <v>1920312</v>
      </c>
      <c r="J92" s="51" t="n">
        <f aca="false">SUM(J88:J89)</f>
        <v>-54618.12</v>
      </c>
      <c r="K92" s="78" t="n">
        <f aca="false">K89</f>
        <v>12</v>
      </c>
      <c r="L92" s="51" t="n">
        <f aca="false">SUM(L88:L89)</f>
        <v>-864000</v>
      </c>
      <c r="M92" s="78" t="n">
        <f aca="false">M89</f>
        <v>5</v>
      </c>
      <c r="N92" s="51" t="n">
        <f aca="false">SUM(N88:N89)</f>
        <v>-720000</v>
      </c>
      <c r="O92" s="78" t="n">
        <f aca="false">O89</f>
        <v>4</v>
      </c>
      <c r="P92" s="51" t="n">
        <f aca="false">SUM(P88:P89)</f>
        <v>-234000</v>
      </c>
      <c r="Q92" s="51" t="n">
        <f aca="false">SUM(Q88:Q89)</f>
        <v>-1872618.12</v>
      </c>
      <c r="R92" s="51" t="n">
        <f aca="false">SUM(R88:R89)</f>
        <v>47693.8799999995</v>
      </c>
      <c r="S92" s="79"/>
      <c r="T92" s="80" t="n">
        <f aca="false">IFERROR(I92/D92,0)</f>
        <v>0.0298</v>
      </c>
      <c r="U92" s="81" t="n">
        <f aca="false">IFERROR(R92/D92,0)</f>
        <v>0.000740128491620105</v>
      </c>
      <c r="V92" s="51" t="n">
        <f aca="false">SUM(V88:V89)</f>
        <v>1001693.88</v>
      </c>
    </row>
    <row r="93" customFormat="false" ht="15" hidden="false" customHeight="false" outlineLevel="0" collapsed="false">
      <c r="A93" s="52" t="s">
        <v>415</v>
      </c>
      <c r="B93" s="78" t="n">
        <f aca="false">B89</f>
        <v>40000</v>
      </c>
      <c r="C93" s="51" t="n">
        <f aca="false">C89</f>
        <v>179</v>
      </c>
      <c r="D93" s="51" t="n">
        <f aca="false">SUM(D84:D89)</f>
        <v>76372140</v>
      </c>
      <c r="E93" s="51" t="n">
        <f aca="false">SUM(E84:E89)</f>
        <v>6109771.2</v>
      </c>
      <c r="F93" s="51" t="n">
        <f aca="false">SUM(F84:F89)</f>
        <v>-2673024.9</v>
      </c>
      <c r="G93" s="51" t="n">
        <f aca="false">SUM(G84:G89)</f>
        <v>-763721.4</v>
      </c>
      <c r="H93" s="51" t="n">
        <f aca="false">SUM(H84:H89)</f>
        <v>-397135.128</v>
      </c>
      <c r="I93" s="51" t="n">
        <f aca="false">SUM(I84:I89)</f>
        <v>2275889.772</v>
      </c>
      <c r="J93" s="51" t="n">
        <f aca="false">SUM(J84:J89)</f>
        <v>-75500.46</v>
      </c>
      <c r="K93" s="78" t="n">
        <f aca="false">K89</f>
        <v>12</v>
      </c>
      <c r="L93" s="51" t="n">
        <f aca="false">SUM(L84:L89)</f>
        <v>-1056000</v>
      </c>
      <c r="M93" s="78" t="n">
        <f aca="false">M89</f>
        <v>5</v>
      </c>
      <c r="N93" s="51" t="n">
        <f aca="false">SUM(N84:N89)</f>
        <v>-900000</v>
      </c>
      <c r="O93" s="78" t="n">
        <f aca="false">O89</f>
        <v>4</v>
      </c>
      <c r="P93" s="51" t="n">
        <f aca="false">SUM(P84:P89)</f>
        <v>-273000</v>
      </c>
      <c r="Q93" s="51" t="n">
        <f aca="false">SUM(Q84:Q89)</f>
        <v>-2304500.46</v>
      </c>
      <c r="R93" s="51" t="n">
        <f aca="false">SUM(R84:R89)</f>
        <v>-28610.6880000006</v>
      </c>
      <c r="S93" s="79"/>
      <c r="T93" s="80" t="n">
        <f aca="false">IFERROR(I93/D93,0)</f>
        <v>0.0298</v>
      </c>
      <c r="U93" s="81" t="n">
        <f aca="false">IFERROR(R93/D93,0)</f>
        <v>-0.000374622054586929</v>
      </c>
      <c r="V93" s="51" t="n">
        <f aca="false">SUM(V84:V89)</f>
        <v>1144389.312</v>
      </c>
    </row>
    <row r="98" customFormat="false" ht="30" hidden="false" customHeight="true" outlineLevel="0" collapsed="false">
      <c r="A98" s="23" t="s">
        <v>418</v>
      </c>
      <c r="B98" s="23" t="s">
        <v>419</v>
      </c>
      <c r="C98" s="23" t="s">
        <v>420</v>
      </c>
      <c r="D98" s="23" t="s">
        <v>421</v>
      </c>
      <c r="E98" s="23" t="s">
        <v>422</v>
      </c>
    </row>
    <row r="99" customFormat="false" ht="15" hidden="false" customHeight="false" outlineLevel="0" collapsed="false">
      <c r="A99" s="44" t="s">
        <v>423</v>
      </c>
      <c r="B99" s="57" t="n">
        <f aca="false">E35</f>
        <v>455</v>
      </c>
      <c r="C99" s="57" t="n">
        <f aca="false">E36</f>
        <v>317</v>
      </c>
      <c r="D99" s="57" t="n">
        <f aca="false">E37</f>
        <v>179</v>
      </c>
      <c r="E99" s="47" t="s">
        <v>424</v>
      </c>
    </row>
    <row r="100" customFormat="false" ht="15" hidden="false" customHeight="false" outlineLevel="0" collapsed="false">
      <c r="A100" s="44" t="s">
        <v>425</v>
      </c>
      <c r="B100" s="57" t="n">
        <f aca="false">R58</f>
        <v>5205.42</v>
      </c>
      <c r="C100" s="57" t="n">
        <f aca="false">R74</f>
        <v>2491.236</v>
      </c>
      <c r="D100" s="57" t="n">
        <f aca="false">R90</f>
        <v>-222.948000000001</v>
      </c>
      <c r="E100" s="47" t="s">
        <v>426</v>
      </c>
    </row>
    <row r="101" customFormat="false" ht="15" hidden="false" customHeight="false" outlineLevel="0" collapsed="false">
      <c r="A101" s="44" t="s">
        <v>427</v>
      </c>
      <c r="B101" s="57" t="n">
        <f aca="false">R59</f>
        <v>466755.18</v>
      </c>
      <c r="C101" s="57" t="n">
        <f aca="false">R75</f>
        <v>195336.78</v>
      </c>
      <c r="D101" s="57" t="n">
        <f aca="false">R91</f>
        <v>-76081.6200000001</v>
      </c>
      <c r="E101" s="47" t="s">
        <v>428</v>
      </c>
    </row>
    <row r="102" customFormat="false" ht="15" hidden="false" customHeight="false" outlineLevel="0" collapsed="false">
      <c r="A102" s="44" t="s">
        <v>429</v>
      </c>
      <c r="B102" s="57" t="n">
        <f aca="false">R60</f>
        <v>3008621.88</v>
      </c>
      <c r="C102" s="57" t="n">
        <f aca="false">R76</f>
        <v>1528157.88</v>
      </c>
      <c r="D102" s="57" t="n">
        <f aca="false">R92</f>
        <v>47693.8799999995</v>
      </c>
      <c r="E102" s="47" t="s">
        <v>430</v>
      </c>
    </row>
    <row r="103" customFormat="false" ht="15" hidden="false" customHeight="false" outlineLevel="0" collapsed="false">
      <c r="A103" s="49" t="s">
        <v>431</v>
      </c>
      <c r="B103" s="58" t="n">
        <f aca="false">R61</f>
        <v>3480582.48</v>
      </c>
      <c r="C103" s="58" t="n">
        <f aca="false">R77</f>
        <v>1725985.896</v>
      </c>
      <c r="D103" s="58" t="n">
        <f aca="false">R93</f>
        <v>-28610.6880000006</v>
      </c>
      <c r="E103" s="47" t="s">
        <v>432</v>
      </c>
    </row>
    <row r="104" customFormat="false" ht="15" hidden="false" customHeight="false" outlineLevel="0" collapsed="false">
      <c r="A104" s="44" t="s">
        <v>433</v>
      </c>
      <c r="B104" s="57" t="n">
        <f aca="false">R55*2</f>
        <v>876646.68</v>
      </c>
      <c r="C104" s="57" t="n">
        <f aca="false">R71*2</f>
        <v>383158.68</v>
      </c>
      <c r="D104" s="57" t="n">
        <f aca="false">R87*2</f>
        <v>-110329.32</v>
      </c>
      <c r="E104" s="47" t="s">
        <v>434</v>
      </c>
    </row>
    <row r="105" customFormat="false" ht="15" hidden="false" customHeight="false" outlineLevel="0" collapsed="false">
      <c r="A105" s="44" t="s">
        <v>435</v>
      </c>
      <c r="B105" s="57" t="n">
        <f aca="false">R56*2</f>
        <v>1940561.88</v>
      </c>
      <c r="C105" s="57" t="n">
        <f aca="false">R72*2</f>
        <v>953585.88</v>
      </c>
      <c r="D105" s="57" t="n">
        <f aca="false">R88*2</f>
        <v>-33390.1200000003</v>
      </c>
      <c r="E105" s="47"/>
    </row>
    <row r="106" customFormat="false" ht="15" hidden="false" customHeight="false" outlineLevel="0" collapsed="false">
      <c r="A106" s="49" t="s">
        <v>436</v>
      </c>
      <c r="B106" s="58" t="n">
        <f aca="false">R57*2</f>
        <v>4076681.88</v>
      </c>
      <c r="C106" s="58" t="n">
        <f aca="false">R73*2</f>
        <v>2102729.88</v>
      </c>
      <c r="D106" s="58" t="n">
        <f aca="false">R89*2</f>
        <v>128777.879999999</v>
      </c>
      <c r="E106" s="47" t="s">
        <v>437</v>
      </c>
    </row>
    <row r="107" customFormat="false" ht="15" hidden="false" customHeight="false" outlineLevel="0" collapsed="false">
      <c r="A107" s="44" t="s">
        <v>438</v>
      </c>
      <c r="B107" s="57" t="n">
        <f aca="false">D57*2</f>
        <v>218400000</v>
      </c>
      <c r="C107" s="57" t="n">
        <f aca="false">D73*2</f>
        <v>152160000</v>
      </c>
      <c r="D107" s="57" t="n">
        <f aca="false">D89*2</f>
        <v>85920000</v>
      </c>
      <c r="E107" s="47"/>
    </row>
    <row r="108" customFormat="false" ht="15" hidden="false" customHeight="false" outlineLevel="0" collapsed="false">
      <c r="A108" s="44" t="s">
        <v>439</v>
      </c>
      <c r="B108" s="77" t="n">
        <f aca="false">$B$20</f>
        <v>0.0298</v>
      </c>
      <c r="C108" s="77" t="n">
        <f aca="false">$B$20</f>
        <v>0.0298</v>
      </c>
      <c r="D108" s="77" t="n">
        <f aca="false">$B$20</f>
        <v>0.0298</v>
      </c>
      <c r="E108" s="47" t="s">
        <v>440</v>
      </c>
    </row>
    <row r="109" customFormat="false" ht="15" hidden="false" customHeight="false" outlineLevel="0" collapsed="false">
      <c r="A109" s="44" t="s">
        <v>441</v>
      </c>
      <c r="B109" s="57" t="n">
        <f aca="false">-J57*2</f>
        <v>67638.12</v>
      </c>
      <c r="C109" s="57" t="n">
        <f aca="false">-J73*2</f>
        <v>67638.12</v>
      </c>
      <c r="D109" s="57" t="n">
        <f aca="false">-J89*2</f>
        <v>67638.12</v>
      </c>
      <c r="E109" s="47" t="s">
        <v>442</v>
      </c>
    </row>
    <row r="110" customFormat="false" ht="15" hidden="false" customHeight="false" outlineLevel="0" collapsed="false">
      <c r="A110" s="44" t="s">
        <v>443</v>
      </c>
      <c r="B110" s="69" t="n">
        <f aca="false">IFERROR(J57/Q57,0)</f>
        <v>0.0278158659562386</v>
      </c>
      <c r="C110" s="69" t="n">
        <f aca="false">IFERROR(J73/Q73,0)</f>
        <v>0.0278158659562386</v>
      </c>
      <c r="D110" s="69" t="n">
        <f aca="false">IFERROR(J89/Q89,0)</f>
        <v>0.0278158659562386</v>
      </c>
      <c r="E110" s="47" t="s">
        <v>444</v>
      </c>
    </row>
    <row r="111" customFormat="false" ht="15" hidden="false" customHeight="false" outlineLevel="0" collapsed="false">
      <c r="A111" s="44" t="s">
        <v>445</v>
      </c>
      <c r="B111" s="69" t="n">
        <f aca="false">IFERROR(R57/D57,0)</f>
        <v>0.0186661258241758</v>
      </c>
      <c r="C111" s="69" t="n">
        <f aca="false">IFERROR(R73/D73,0)</f>
        <v>0.013819202681388</v>
      </c>
      <c r="D111" s="69" t="n">
        <f aca="false">IFERROR(R89/D89,0)</f>
        <v>0.00149881145251396</v>
      </c>
      <c r="E111" s="47" t="s">
        <v>446</v>
      </c>
    </row>
    <row r="112" customFormat="false" ht="15" hidden="false" customHeight="false" outlineLevel="0" collapsed="false">
      <c r="A112" s="44" t="s">
        <v>447</v>
      </c>
      <c r="B112" s="57" t="n">
        <f aca="false">G61+H61</f>
        <v>-2950780.56</v>
      </c>
      <c r="C112" s="57" t="n">
        <f aca="false">G77+H77</f>
        <v>-2055818.544</v>
      </c>
      <c r="D112" s="57" t="n">
        <f aca="false">G93+H93</f>
        <v>-1160856.528</v>
      </c>
      <c r="E112" s="47" t="s">
        <v>448</v>
      </c>
    </row>
    <row r="113" customFormat="false" ht="15" hidden="false" customHeight="false" outlineLevel="0" collapsed="false">
      <c r="A113" s="44" t="s">
        <v>449</v>
      </c>
      <c r="B113" s="69" t="n">
        <f aca="false">IFERROR(-H57/I57,0)</f>
        <v>0.174496644295302</v>
      </c>
      <c r="C113" s="69" t="n">
        <f aca="false">IFERROR(-H73/I73,0)</f>
        <v>0.174496644295302</v>
      </c>
      <c r="D113" s="69" t="n">
        <f aca="false">IFERROR(-H89/I89,0)</f>
        <v>0.174496644295302</v>
      </c>
      <c r="E113" s="47" t="s">
        <v>450</v>
      </c>
    </row>
    <row r="116" customFormat="false" ht="15" hidden="false" customHeight="false" outlineLevel="0" collapsed="false">
      <c r="A116" s="52" t="s">
        <v>451</v>
      </c>
    </row>
    <row r="117" customFormat="false" ht="15" hidden="false" customHeight="false" outlineLevel="0" collapsed="false">
      <c r="A117" s="47" t="s">
        <v>452</v>
      </c>
    </row>
    <row r="118" customFormat="false" ht="30" hidden="false" customHeight="true" outlineLevel="0" collapsed="false">
      <c r="A118" s="23" t="s">
        <v>197</v>
      </c>
      <c r="B118" s="23" t="s">
        <v>453</v>
      </c>
      <c r="C118" s="23" t="s">
        <v>454</v>
      </c>
      <c r="D118" s="23" t="s">
        <v>455</v>
      </c>
      <c r="E118" s="23" t="s">
        <v>456</v>
      </c>
      <c r="F118" s="23" t="s">
        <v>422</v>
      </c>
    </row>
    <row r="119" customFormat="false" ht="15" hidden="false" customHeight="false" outlineLevel="0" collapsed="false">
      <c r="A119" s="44" t="s">
        <v>100</v>
      </c>
      <c r="B119" s="57" t="n">
        <f aca="false">D70*2</f>
        <v>3804000</v>
      </c>
      <c r="C119" s="57" t="n">
        <f aca="false">D71*2</f>
        <v>38040000</v>
      </c>
      <c r="D119" s="57" t="n">
        <f aca="false">D72*2</f>
        <v>76080000</v>
      </c>
      <c r="E119" s="57" t="n">
        <f aca="false">D73*2</f>
        <v>152160000</v>
      </c>
      <c r="F119" s="47" t="s">
        <v>457</v>
      </c>
    </row>
    <row r="120" customFormat="false" ht="15" hidden="false" customHeight="false" outlineLevel="0" collapsed="false">
      <c r="A120" s="44" t="s">
        <v>458</v>
      </c>
      <c r="B120" s="57" t="n">
        <f aca="false">I70*2</f>
        <v>113359.2</v>
      </c>
      <c r="C120" s="57" t="n">
        <f aca="false">I71*2</f>
        <v>1133592</v>
      </c>
      <c r="D120" s="57" t="n">
        <f aca="false">I72*2</f>
        <v>2267184</v>
      </c>
      <c r="E120" s="57" t="n">
        <f aca="false">I73*2</f>
        <v>4534368</v>
      </c>
      <c r="F120" s="47" t="s">
        <v>459</v>
      </c>
    </row>
    <row r="121" customFormat="false" ht="15" hidden="false" customHeight="false" outlineLevel="0" collapsed="false">
      <c r="A121" s="44" t="s">
        <v>460</v>
      </c>
      <c r="B121" s="57" t="n">
        <f aca="false">-J70*2</f>
        <v>9844.32</v>
      </c>
      <c r="C121" s="57" t="n">
        <f aca="false">-J71*2</f>
        <v>24433.32</v>
      </c>
      <c r="D121" s="57" t="n">
        <f aca="false">-J72*2</f>
        <v>41598.12</v>
      </c>
      <c r="E121" s="57" t="n">
        <f aca="false">-J73*2</f>
        <v>67638.12</v>
      </c>
      <c r="F121" s="47" t="s">
        <v>461</v>
      </c>
    </row>
    <row r="122" customFormat="false" ht="15" hidden="false" customHeight="false" outlineLevel="0" collapsed="false">
      <c r="A122" s="44" t="s">
        <v>462</v>
      </c>
      <c r="B122" s="57" t="n">
        <f aca="false">-Q70*2</f>
        <v>105844.32</v>
      </c>
      <c r="C122" s="57" t="n">
        <f aca="false">-Q71*2</f>
        <v>750433.32</v>
      </c>
      <c r="D122" s="57" t="n">
        <f aca="false">-Q72*2</f>
        <v>1313598.12</v>
      </c>
      <c r="E122" s="57" t="n">
        <f aca="false">-Q73*2</f>
        <v>2431638.12</v>
      </c>
      <c r="F122" s="47" t="s">
        <v>463</v>
      </c>
    </row>
    <row r="123" customFormat="false" ht="15" hidden="false" customHeight="false" outlineLevel="0" collapsed="false">
      <c r="A123" s="44" t="s">
        <v>464</v>
      </c>
      <c r="B123" s="57" t="n">
        <f aca="false">R70*2</f>
        <v>7514.87999999999</v>
      </c>
      <c r="C123" s="57" t="n">
        <f aca="false">R71*2</f>
        <v>383158.68</v>
      </c>
      <c r="D123" s="57" t="n">
        <f aca="false">R72*2</f>
        <v>953585.88</v>
      </c>
      <c r="E123" s="57" t="n">
        <f aca="false">R73*2</f>
        <v>2102729.88</v>
      </c>
      <c r="F123" s="47" t="s">
        <v>465</v>
      </c>
    </row>
    <row r="124" customFormat="false" ht="15" hidden="false" customHeight="false" outlineLevel="0" collapsed="false">
      <c r="A124" s="44" t="s">
        <v>466</v>
      </c>
      <c r="B124" s="48" t="n">
        <f aca="false">IFERROR(I70*2/B70,0)</f>
        <v>113.3592</v>
      </c>
      <c r="C124" s="48" t="n">
        <f aca="false">IFERROR(I71*2/B71,0)</f>
        <v>113.3592</v>
      </c>
      <c r="D124" s="48" t="n">
        <f aca="false">IFERROR(I72*2/B72,0)</f>
        <v>113.3592</v>
      </c>
      <c r="E124" s="48" t="n">
        <f aca="false">IFERROR(I73*2/B73,0)</f>
        <v>113.3592</v>
      </c>
      <c r="F124" s="47" t="s">
        <v>467</v>
      </c>
    </row>
    <row r="125" customFormat="false" ht="15" hidden="false" customHeight="false" outlineLevel="0" collapsed="false">
      <c r="A125" s="44" t="s">
        <v>468</v>
      </c>
      <c r="B125" s="48" t="n">
        <f aca="false">IFERROR(-Q70*2/B70,0)</f>
        <v>105.84432</v>
      </c>
      <c r="C125" s="48" t="n">
        <f aca="false">IFERROR(-Q71*2/B71,0)</f>
        <v>75.043332</v>
      </c>
      <c r="D125" s="48" t="n">
        <f aca="false">IFERROR(-Q72*2/B72,0)</f>
        <v>65.679906</v>
      </c>
      <c r="E125" s="48" t="n">
        <f aca="false">IFERROR(-Q73*2/B73,0)</f>
        <v>60.790953</v>
      </c>
      <c r="F125" s="47" t="s">
        <v>469</v>
      </c>
    </row>
    <row r="126" customFormat="false" ht="15" hidden="false" customHeight="false" outlineLevel="0" collapsed="false">
      <c r="A126" s="44" t="s">
        <v>470</v>
      </c>
      <c r="B126" s="48" t="n">
        <f aca="false">IFERROR(-J70*2/B70,0)</f>
        <v>9.84432</v>
      </c>
      <c r="C126" s="48" t="n">
        <f aca="false">IFERROR(-J71*2/B71,0)</f>
        <v>2.443332</v>
      </c>
      <c r="D126" s="48" t="n">
        <f aca="false">IFERROR(-J72*2/B72,0)</f>
        <v>2.079906</v>
      </c>
      <c r="E126" s="48" t="n">
        <f aca="false">IFERROR(-J73*2/B73,0)</f>
        <v>1.690953</v>
      </c>
      <c r="F126" s="47" t="s">
        <v>471</v>
      </c>
    </row>
    <row r="127" customFormat="false" ht="15" hidden="false" customHeight="false" outlineLevel="0" collapsed="false">
      <c r="A127" s="44" t="s">
        <v>472</v>
      </c>
      <c r="B127" s="48" t="n">
        <f aca="false">IFERROR(R70*2/B70,0)</f>
        <v>7.51487999999999</v>
      </c>
      <c r="C127" s="48" t="n">
        <f aca="false">IFERROR(R71*2/B71,0)</f>
        <v>38.315868</v>
      </c>
      <c r="D127" s="48" t="n">
        <f aca="false">IFERROR(R72*2/B72,0)</f>
        <v>47.679294</v>
      </c>
      <c r="E127" s="48" t="n">
        <f aca="false">IFERROR(R73*2/B73,0)</f>
        <v>52.568247</v>
      </c>
      <c r="F127" s="47" t="s">
        <v>473</v>
      </c>
    </row>
    <row r="128" customFormat="false" ht="15" hidden="false" customHeight="false" outlineLevel="0" collapsed="false">
      <c r="A128" s="44" t="s">
        <v>474</v>
      </c>
      <c r="B128" s="69" t="n">
        <f aca="false">IFERROR(R70/I70,0)</f>
        <v>0.0662926343869751</v>
      </c>
      <c r="C128" s="69" t="n">
        <f aca="false">IFERROR(R71/I71,0)</f>
        <v>0.338004043782948</v>
      </c>
      <c r="D128" s="69" t="n">
        <f aca="false">IFERROR(R72/I72,0)</f>
        <v>0.420603656341964</v>
      </c>
      <c r="E128" s="69" t="n">
        <f aca="false">IFERROR(R73/I73,0)</f>
        <v>0.463731633603625</v>
      </c>
      <c r="F128" s="47" t="s">
        <v>475</v>
      </c>
    </row>
    <row r="130" customFormat="false" ht="15" hidden="false" customHeight="false" outlineLevel="0" collapsed="false">
      <c r="A130" s="49" t="s">
        <v>476</v>
      </c>
    </row>
    <row r="131" customFormat="false" ht="30" hidden="false" customHeight="true" outlineLevel="0" collapsed="false">
      <c r="A131" s="23" t="s">
        <v>477</v>
      </c>
      <c r="B131" s="23" t="s">
        <v>478</v>
      </c>
      <c r="C131" s="23" t="s">
        <v>479</v>
      </c>
      <c r="D131" s="23" t="s">
        <v>480</v>
      </c>
      <c r="E131" s="23"/>
      <c r="F131" s="23" t="s">
        <v>422</v>
      </c>
    </row>
    <row r="132" customFormat="false" ht="15" hidden="false" customHeight="false" outlineLevel="0" collapsed="false">
      <c r="A132" s="44" t="s">
        <v>481</v>
      </c>
      <c r="B132" s="70" t="n">
        <f aca="false">B71-B70</f>
        <v>9000</v>
      </c>
      <c r="C132" s="70" t="n">
        <f aca="false">B72-B71</f>
        <v>10000</v>
      </c>
      <c r="D132" s="70" t="n">
        <f aca="false">B73-B72</f>
        <v>20000</v>
      </c>
      <c r="F132" s="47" t="s">
        <v>482</v>
      </c>
    </row>
    <row r="133" customFormat="false" ht="15" hidden="false" customHeight="false" outlineLevel="0" collapsed="false">
      <c r="A133" s="44" t="s">
        <v>483</v>
      </c>
      <c r="B133" s="57" t="n">
        <f aca="false">(I71-I70)*2</f>
        <v>1020232.8</v>
      </c>
      <c r="C133" s="57" t="n">
        <f aca="false">(I72-I71)*2</f>
        <v>1133592</v>
      </c>
      <c r="D133" s="57" t="n">
        <f aca="false">(I73-I72)*2</f>
        <v>2267184</v>
      </c>
      <c r="F133" s="47" t="s">
        <v>484</v>
      </c>
    </row>
    <row r="134" customFormat="false" ht="15" hidden="false" customHeight="false" outlineLevel="0" collapsed="false">
      <c r="A134" s="44" t="s">
        <v>485</v>
      </c>
      <c r="B134" s="57" t="n">
        <f aca="false">-(Q71-Q70)*2</f>
        <v>644589</v>
      </c>
      <c r="C134" s="57" t="n">
        <f aca="false">-(Q72-Q71)*2</f>
        <v>563164.8</v>
      </c>
      <c r="D134" s="57" t="n">
        <f aca="false">-(Q73-Q72)*2</f>
        <v>1118040</v>
      </c>
      <c r="F134" s="47" t="s">
        <v>486</v>
      </c>
    </row>
    <row r="135" customFormat="false" ht="15" hidden="false" customHeight="false" outlineLevel="0" collapsed="false">
      <c r="A135" s="44" t="s">
        <v>487</v>
      </c>
      <c r="B135" s="57" t="n">
        <f aca="false">(R71-R70)*2</f>
        <v>375643.8</v>
      </c>
      <c r="C135" s="57" t="n">
        <f aca="false">(R72-R71)*2</f>
        <v>570427.2</v>
      </c>
      <c r="D135" s="57" t="n">
        <f aca="false">(R73-R72)*2</f>
        <v>1149144</v>
      </c>
      <c r="F135" s="47" t="s">
        <v>488</v>
      </c>
    </row>
    <row r="136" customFormat="false" ht="15" hidden="false" customHeight="false" outlineLevel="0" collapsed="false">
      <c r="A136" s="49" t="s">
        <v>489</v>
      </c>
      <c r="B136" s="82" t="n">
        <f aca="false">IFERROR((R71-R70)*2/(B71-B70),0)</f>
        <v>41.7382</v>
      </c>
      <c r="C136" s="82" t="n">
        <f aca="false">IFERROR((R72-R71)*2/(B72-B71),0)</f>
        <v>57.04272</v>
      </c>
      <c r="D136" s="82" t="n">
        <f aca="false">IFERROR((R73-R72)*2/(B73-B72),0)</f>
        <v>57.4572</v>
      </c>
      <c r="F136" s="47" t="s">
        <v>490</v>
      </c>
    </row>
    <row r="137" customFormat="false" ht="15" hidden="false" customHeight="false" outlineLevel="0" collapsed="false">
      <c r="A137" s="44" t="s">
        <v>491</v>
      </c>
      <c r="B137" s="69" t="n">
        <f aca="false">IFERROR((R71-R70)/(I71-I70),0)</f>
        <v>0.368194200382501</v>
      </c>
      <c r="C137" s="69" t="n">
        <f aca="false">IFERROR((R72-R71)/(I72-I71),0)</f>
        <v>0.50320326890098</v>
      </c>
      <c r="D137" s="69" t="n">
        <f aca="false">IFERROR((R73-R72)/(I73-I72),0)</f>
        <v>0.506859610865285</v>
      </c>
      <c r="F137" s="47" t="s">
        <v>492</v>
      </c>
    </row>
    <row r="139" customFormat="false" ht="15" hidden="false" customHeight="false" outlineLevel="0" collapsed="false">
      <c r="A139" s="49" t="s">
        <v>493</v>
      </c>
    </row>
    <row r="140" customFormat="false" ht="30" hidden="false" customHeight="true" outlineLevel="0" collapsed="false">
      <c r="A140" s="23" t="s">
        <v>357</v>
      </c>
      <c r="B140" s="23" t="s">
        <v>494</v>
      </c>
      <c r="C140" s="23" t="s">
        <v>495</v>
      </c>
      <c r="D140" s="23" t="s">
        <v>496</v>
      </c>
      <c r="E140" s="23" t="s">
        <v>497</v>
      </c>
      <c r="F140" s="23" t="s">
        <v>498</v>
      </c>
    </row>
    <row r="141" customFormat="false" ht="15" hidden="false" customHeight="false" outlineLevel="0" collapsed="false">
      <c r="A141" s="44" t="s">
        <v>499</v>
      </c>
      <c r="B141" s="48" t="n">
        <f aca="false">IFERROR(R54*2/B54,0)</f>
        <v>56.86368</v>
      </c>
      <c r="C141" s="48" t="n">
        <f aca="false">IFERROR(R55*2/B55,0)</f>
        <v>87.664668</v>
      </c>
      <c r="D141" s="48" t="n">
        <f aca="false">IFERROR(R56*2/B56,0)</f>
        <v>97.028094</v>
      </c>
      <c r="E141" s="48" t="n">
        <f aca="false">IFERROR(R57*2/B57,0)</f>
        <v>101.917047</v>
      </c>
      <c r="F141" s="83" t="n">
        <f aca="false">IFERROR($B$19/(R57*2/B57),0)</f>
        <v>0.490595062080243</v>
      </c>
    </row>
    <row r="142" customFormat="false" ht="15" hidden="false" customHeight="false" outlineLevel="0" collapsed="false">
      <c r="A142" s="44" t="s">
        <v>500</v>
      </c>
      <c r="B142" s="48" t="n">
        <f aca="false">IFERROR(R70*2/B70,0)</f>
        <v>7.51487999999999</v>
      </c>
      <c r="C142" s="48" t="n">
        <f aca="false">IFERROR(R71*2/B71,0)</f>
        <v>38.315868</v>
      </c>
      <c r="D142" s="48" t="n">
        <f aca="false">IFERROR(R72*2/B72,0)</f>
        <v>47.679294</v>
      </c>
      <c r="E142" s="48" t="n">
        <f aca="false">IFERROR(R73*2/B73,0)</f>
        <v>52.568247</v>
      </c>
      <c r="F142" s="83" t="n">
        <f aca="false">IFERROR($B$19/(R73*2/B73),0)</f>
        <v>0.951144518857553</v>
      </c>
    </row>
    <row r="143" customFormat="false" ht="15" hidden="false" customHeight="false" outlineLevel="0" collapsed="false">
      <c r="A143" s="44" t="s">
        <v>501</v>
      </c>
      <c r="B143" s="48" t="n">
        <f aca="false">IFERROR(R86*2/B86,0)</f>
        <v>-41.83392</v>
      </c>
      <c r="C143" s="48" t="n">
        <f aca="false">IFERROR(R87*2/B87,0)</f>
        <v>-11.032932</v>
      </c>
      <c r="D143" s="48" t="n">
        <f aca="false">IFERROR(R88*2/B88,0)</f>
        <v>-1.66950600000002</v>
      </c>
      <c r="E143" s="48" t="n">
        <f aca="false">IFERROR(R89*2/B89,0)</f>
        <v>3.21944699999999</v>
      </c>
      <c r="F143" s="83" t="n">
        <f aca="false">IFERROR($B$19/(R89*2/B89),0)</f>
        <v>15.530617525308</v>
      </c>
    </row>
    <row r="144" customFormat="false" ht="15" hidden="false" customHeight="false" outlineLevel="0" collapsed="false">
      <c r="A144" s="47" t="s">
        <v>502</v>
      </c>
    </row>
    <row r="146" customFormat="false" ht="15" hidden="false" customHeight="false" outlineLevel="0" collapsed="false">
      <c r="A146" s="52" t="s">
        <v>503</v>
      </c>
    </row>
    <row r="147" customFormat="false" ht="15" hidden="false" customHeight="false" outlineLevel="0" collapsed="false">
      <c r="A147" s="47" t="s">
        <v>504</v>
      </c>
    </row>
    <row r="148" customFormat="false" ht="30" hidden="false" customHeight="true" outlineLevel="0" collapsed="false">
      <c r="A148" s="23" t="s">
        <v>505</v>
      </c>
      <c r="B148" s="23" t="s">
        <v>506</v>
      </c>
      <c r="C148" s="23" t="s">
        <v>507</v>
      </c>
      <c r="D148" s="23" t="s">
        <v>508</v>
      </c>
      <c r="E148" s="23" t="s">
        <v>509</v>
      </c>
      <c r="F148" s="23" t="s">
        <v>510</v>
      </c>
    </row>
    <row r="149" customFormat="false" ht="15" hidden="false" customHeight="false" outlineLevel="0" collapsed="false">
      <c r="A149" s="44" t="s">
        <v>179</v>
      </c>
      <c r="B149" s="58" t="n">
        <f aca="false">$F$41+$C$41*$B$14*(1+$B$15)+$D$41*$B$23*(1+$B$15)+$E$41*$B$24*(1+$B$15)</f>
        <v>3606.72</v>
      </c>
      <c r="C149" s="70" t="n">
        <f aca="false">IFERROR($B149/($B$20*E$35*12),0)</f>
        <v>22.1668264621285</v>
      </c>
      <c r="D149" s="70" t="n">
        <f aca="false">IFERROR($B149/($B$20*E$36*12),0)</f>
        <v>31.8167382973768</v>
      </c>
      <c r="E149" s="70" t="n">
        <f aca="false">IFERROR($B149/($B$20*E$37*12),0)</f>
        <v>56.3458438003824</v>
      </c>
      <c r="F149" s="47" t="s">
        <v>511</v>
      </c>
    </row>
    <row r="150" customFormat="false" ht="15" hidden="false" customHeight="false" outlineLevel="0" collapsed="false">
      <c r="A150" s="44" t="s">
        <v>180</v>
      </c>
      <c r="B150" s="58" t="n">
        <f aca="false">$F$42+$C$42*$B$14*(1+$B$15)+$D$42*$B$23*(1+$B$15)+$E$42*$B$24*(1+$B$15)</f>
        <v>3880.32</v>
      </c>
      <c r="C150" s="70" t="n">
        <f aca="false">IFERROR($B150/($B$20*E$35*12),0)</f>
        <v>23.848366398702</v>
      </c>
      <c r="D150" s="70" t="n">
        <f aca="false">IFERROR($B150/($B$20*E$36*12),0)</f>
        <v>34.2303050833104</v>
      </c>
      <c r="E150" s="70" t="n">
        <f aca="false">IFERROR($B150/($B$20*E$37*12),0)</f>
        <v>60.6201492257508</v>
      </c>
      <c r="F150" s="47" t="s">
        <v>512</v>
      </c>
    </row>
    <row r="151" customFormat="false" ht="15" hidden="false" customHeight="false" outlineLevel="0" collapsed="false">
      <c r="A151" s="44" t="s">
        <v>181</v>
      </c>
      <c r="B151" s="58" t="n">
        <f aca="false">$F$43+$C$43*$B$14*(1+$B$15)+$D$43*$B$23*(1+$B$15)+$E$43*$B$24*(1+$B$15)</f>
        <v>105844.32</v>
      </c>
      <c r="C151" s="70" t="n">
        <f aca="false">IFERROR($B151/($B$20*E$35*12),0)</f>
        <v>650.516999778745</v>
      </c>
      <c r="D151" s="70" t="n">
        <f aca="false">IFERROR($B151/($B$20*E$36*12),0)</f>
        <v>933.707365613025</v>
      </c>
      <c r="E151" s="70" t="n">
        <f aca="false">IFERROR($B151/($B$20*E$37*12),0)</f>
        <v>1653.54879832027</v>
      </c>
      <c r="F151" s="47" t="s">
        <v>513</v>
      </c>
    </row>
    <row r="152" customFormat="false" ht="15" hidden="false" customHeight="false" outlineLevel="0" collapsed="false">
      <c r="A152" s="44" t="s">
        <v>182</v>
      </c>
      <c r="B152" s="58" t="n">
        <f aca="false">$F$44+$C$44*$B$14*(1+$B$15)+$D$44*$B$23*(1+$B$15)+$E$44*$B$24*(1+$B$15)</f>
        <v>750433.32</v>
      </c>
      <c r="C152" s="70" t="n">
        <f aca="false">IFERROR($B152/($B$20*E$35*12),0)</f>
        <v>4612.14765100671</v>
      </c>
      <c r="D152" s="70" t="n">
        <f aca="false">IFERROR($B152/($B$20*E$36*12),0)</f>
        <v>6619.95956217052</v>
      </c>
      <c r="E152" s="70" t="n">
        <f aca="false">IFERROR($B152/($B$20*E$37*12),0)</f>
        <v>11723.6155374752</v>
      </c>
      <c r="F152" s="47" t="s">
        <v>514</v>
      </c>
    </row>
    <row r="153" customFormat="false" ht="15" hidden="false" customHeight="false" outlineLevel="0" collapsed="false">
      <c r="A153" s="44" t="s">
        <v>515</v>
      </c>
      <c r="B153" s="58" t="n">
        <f aca="false">$F$45+$C$45*$B$14*(1+$B$15)+$D$45*$B$23*(1+$B$15)+$E$45*$B$24*(1+$B$15)</f>
        <v>1313598.12</v>
      </c>
      <c r="C153" s="70" t="n">
        <f aca="false">IFERROR($B153/($B$20*E$35*12),0)</f>
        <v>8073.3468544878</v>
      </c>
      <c r="D153" s="70" t="n">
        <f aca="false">IFERROR($B153/($B$20*E$36*12),0)</f>
        <v>11587.9268731607</v>
      </c>
      <c r="E153" s="70" t="n">
        <f aca="false">IFERROR($B153/($B$20*E$37*12),0)</f>
        <v>20521.6358591729</v>
      </c>
      <c r="F153" s="47" t="s">
        <v>516</v>
      </c>
    </row>
    <row r="154" customFormat="false" ht="15" hidden="false" customHeight="false" outlineLevel="0" collapsed="false">
      <c r="A154" s="44" t="s">
        <v>517</v>
      </c>
      <c r="B154" s="58" t="n">
        <f aca="false">$F$46+$C$46*$B$14*(1+$B$15)+$D$46*$B$23*(1+$B$15)+$E$46*$B$24*(1+$B$15)</f>
        <v>2431638.12</v>
      </c>
      <c r="C154" s="70" t="n">
        <f aca="false">IFERROR($B154/($B$20*E$35*12),0)</f>
        <v>14944.7975514418</v>
      </c>
      <c r="D154" s="70" t="n">
        <f aca="false">IFERROR($B154/($B$20*E$36*12),0)</f>
        <v>21450.734655855</v>
      </c>
      <c r="E154" s="70" t="n">
        <f aca="false">IFERROR($B154/($B$20*E$37*12),0)</f>
        <v>37988.1725469611</v>
      </c>
      <c r="F154" s="47" t="s">
        <v>518</v>
      </c>
    </row>
    <row r="156" customFormat="false" ht="15" hidden="false" customHeight="false" outlineLevel="0" collapsed="false">
      <c r="A156" s="47" t="s">
        <v>519</v>
      </c>
    </row>
    <row r="158" customFormat="false" ht="30" hidden="false" customHeight="true" outlineLevel="0" collapsed="false">
      <c r="A158" s="23" t="s">
        <v>520</v>
      </c>
      <c r="B158" s="23" t="s">
        <v>521</v>
      </c>
      <c r="C158" s="23" t="s">
        <v>522</v>
      </c>
      <c r="D158" s="23" t="s">
        <v>523</v>
      </c>
      <c r="E158" s="23" t="s">
        <v>9</v>
      </c>
    </row>
    <row r="159" customFormat="false" ht="15" hidden="false" customHeight="false" outlineLevel="0" collapsed="false">
      <c r="A159" s="44" t="s">
        <v>524</v>
      </c>
      <c r="B159" s="70" t="n">
        <f aca="false">B57</f>
        <v>40000</v>
      </c>
      <c r="C159" s="70" t="n">
        <f aca="false">B73</f>
        <v>40000</v>
      </c>
      <c r="D159" s="70" t="n">
        <f aca="false">B89</f>
        <v>40000</v>
      </c>
      <c r="E159" s="47" t="s">
        <v>525</v>
      </c>
    </row>
    <row r="160" customFormat="false" ht="15" hidden="false" customHeight="false" outlineLevel="0" collapsed="false">
      <c r="A160" s="44" t="s">
        <v>526</v>
      </c>
      <c r="B160" s="57" t="n">
        <f aca="false">-B159*$B$19</f>
        <v>-2000000</v>
      </c>
      <c r="C160" s="57" t="n">
        <f aca="false">-C159*$B$19</f>
        <v>-2000000</v>
      </c>
      <c r="D160" s="57" t="n">
        <f aca="false">-D159*$B$19</f>
        <v>-2000000</v>
      </c>
      <c r="E160" s="47" t="s">
        <v>527</v>
      </c>
    </row>
    <row r="161" customFormat="false" ht="15" hidden="false" customHeight="false" outlineLevel="0" collapsed="false">
      <c r="A161" s="44" t="s">
        <v>528</v>
      </c>
      <c r="B161" s="57" t="n">
        <f aca="false">R61+B160</f>
        <v>1480582.48</v>
      </c>
      <c r="C161" s="57" t="n">
        <f aca="false">R77+C160</f>
        <v>-274014.104</v>
      </c>
      <c r="D161" s="57" t="n">
        <f aca="false">R93+D160</f>
        <v>-2028610.688</v>
      </c>
      <c r="E161" s="47" t="s">
        <v>529</v>
      </c>
    </row>
    <row r="162" customFormat="false" ht="15" hidden="false" customHeight="false" outlineLevel="0" collapsed="false">
      <c r="A162" s="44" t="s">
        <v>530</v>
      </c>
      <c r="B162" s="68" t="n">
        <v>-720000</v>
      </c>
      <c r="C162" s="68" t="n">
        <v>-720000</v>
      </c>
      <c r="D162" s="68" t="n">
        <v>-720000</v>
      </c>
      <c r="E162" s="47" t="s">
        <v>531</v>
      </c>
    </row>
    <row r="163" customFormat="false" ht="15" hidden="false" customHeight="false" outlineLevel="0" collapsed="false">
      <c r="A163" s="49" t="s">
        <v>532</v>
      </c>
      <c r="B163" s="58" t="n">
        <f aca="false">B161+B162</f>
        <v>760582.479999998</v>
      </c>
      <c r="C163" s="58" t="n">
        <f aca="false">C161+C162</f>
        <v>-994014.104</v>
      </c>
      <c r="D163" s="58" t="n">
        <f aca="false">D161+D162</f>
        <v>-2748610.688</v>
      </c>
      <c r="E163" s="47" t="s">
        <v>533</v>
      </c>
    </row>
    <row r="165" customFormat="false" ht="15" hidden="false" customHeight="false" outlineLevel="0" collapsed="false">
      <c r="A165" s="52" t="s">
        <v>534</v>
      </c>
    </row>
    <row r="166" customFormat="false" ht="15" hidden="false" customHeight="false" outlineLevel="0" collapsed="false">
      <c r="A166" s="61" t="s">
        <v>535</v>
      </c>
    </row>
    <row r="167" customFormat="false" ht="15" hidden="false" customHeight="false" outlineLevel="0" collapsed="false">
      <c r="A167" s="60" t="s">
        <v>536</v>
      </c>
    </row>
    <row r="168" customFormat="false" ht="15" hidden="false" customHeight="false" outlineLevel="0" collapsed="false">
      <c r="A168" s="60" t="s">
        <v>537</v>
      </c>
    </row>
    <row r="169" customFormat="false" ht="15" hidden="false" customHeight="false" outlineLevel="0" collapsed="false">
      <c r="A169" s="60" t="s">
        <v>538</v>
      </c>
    </row>
    <row r="170" customFormat="false" ht="15" hidden="false" customHeight="false" outlineLevel="0" collapsed="false">
      <c r="A170" s="60" t="s">
        <v>539</v>
      </c>
    </row>
    <row r="171" customFormat="false" ht="15" hidden="false" customHeight="false" outlineLevel="0" collapsed="false">
      <c r="A171" s="60" t="s">
        <v>540</v>
      </c>
    </row>
    <row r="172" customFormat="false" ht="15" hidden="false" customHeight="false" outlineLevel="0" collapsed="false">
      <c r="A172" s="60"/>
    </row>
    <row r="173" customFormat="false" ht="15" hidden="false" customHeight="false" outlineLevel="0" collapsed="false">
      <c r="A173" s="61" t="s">
        <v>541</v>
      </c>
    </row>
    <row r="174" customFormat="false" ht="15" hidden="false" customHeight="false" outlineLevel="0" collapsed="false">
      <c r="A174" s="60" t="s">
        <v>542</v>
      </c>
    </row>
    <row r="175" customFormat="false" ht="15" hidden="false" customHeight="false" outlineLevel="0" collapsed="false">
      <c r="A175" s="60" t="s">
        <v>543</v>
      </c>
    </row>
    <row r="176" customFormat="false" ht="15" hidden="false" customHeight="false" outlineLevel="0" collapsed="false">
      <c r="A176" s="60" t="s">
        <v>544</v>
      </c>
    </row>
    <row r="177" customFormat="false" ht="15" hidden="false" customHeight="false" outlineLevel="0" collapsed="false">
      <c r="A177" s="60" t="s">
        <v>545</v>
      </c>
    </row>
    <row r="178" customFormat="false" ht="15" hidden="false" customHeight="false" outlineLevel="0" collapsed="false">
      <c r="A178" s="60" t="s">
        <v>546</v>
      </c>
    </row>
    <row r="179" customFormat="false" ht="15" hidden="false" customHeight="false" outlineLevel="0" collapsed="false">
      <c r="A179" s="60" t="s">
        <v>547</v>
      </c>
    </row>
    <row r="180" customFormat="false" ht="15" hidden="false" customHeight="false" outlineLevel="0" collapsed="false">
      <c r="A180" s="60"/>
    </row>
    <row r="181" customFormat="false" ht="15" hidden="false" customHeight="false" outlineLevel="0" collapsed="false">
      <c r="A181" s="60" t="s">
        <v>548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2026-08-29T21:05:25Z</dcterms:created>
  <dc:creator>openpyxl</dc:creator>
  <dc:description/>
  <dc:language>en-US</dc:language>
  <cp:lastModifiedBy/>
  <dcterms:modified xsi:type="dcterms:W3CDTF">2026-08-31T19:42:43Z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